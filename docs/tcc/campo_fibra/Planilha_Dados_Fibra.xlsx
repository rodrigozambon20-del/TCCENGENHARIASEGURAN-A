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ostes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Referencia" sheetId="4" state="visible" r:id="rId4"/>
    <sheet xmlns:r="http://schemas.openxmlformats.org/officeDocument/2006/relationships" name="Equipes" sheetId="5" state="visible" r:id="rId5"/>
    <sheet xmlns:r="http://schemas.openxmlformats.org/officeDocument/2006/relationships" name="Fo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6233F"/>
      <sz val="13"/>
    </font>
    <font>
      <b val="1"/>
      <color rgb="00FFFFFF"/>
    </font>
    <font>
      <b val="1"/>
      <color rgb="0016233F"/>
    </font>
  </fonts>
  <fills count="5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FF8DC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165" fontId="0" fillId="4" borderId="1" pivotButton="0" quotePrefix="0" xfId="0"/>
    <xf numFmtId="0" fontId="2" fillId="2" borderId="0" pivotButton="0" quotePrefix="0" xfId="0"/>
    <xf numFmtId="0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PLANILHA DE DADOS — OCUPAÇÃO DE POSTES POR CABOS DE TELECOMUNICAÇÕES</t>
        </is>
      </c>
    </row>
    <row r="2">
      <c r="A2" t="inlineStr"/>
    </row>
    <row r="3">
      <c r="A3" t="inlineStr">
        <is>
          <t>Células AMARELAS = você preenche.  Células AZUIS = calculadas (não editar).</t>
        </is>
      </c>
    </row>
    <row r="4">
      <c r="A4" t="inlineStr">
        <is>
          <t>Sem nomes: postes T1-01, T1-02…; trechos T1…T4; provedores A, B, C…</t>
        </is>
      </c>
    </row>
    <row r="5">
      <c r="A5" t="inlineStr"/>
    </row>
    <row r="6">
      <c r="A6" t="inlineStr">
        <is>
          <t>Postes      — uma linha por poste (ficha F2). Altura: preencha a medida direta (col. H)</t>
        </is>
      </c>
    </row>
    <row r="7">
      <c r="A7" t="inlineStr">
        <is>
          <t xml:space="preserve">              OU distância horizontal + ângulo + altura dos olhos (cols. I-K).</t>
        </is>
      </c>
    </row>
    <row r="8">
      <c r="A8" t="inlineStr">
        <is>
          <t>Equipes     — observações de equipes de telecom (ficha F3).</t>
        </is>
      </c>
    </row>
    <row r="9">
      <c r="A9" t="inlineStr">
        <is>
          <t>Fotos       — registro fotográfico (ficha F5).</t>
        </is>
      </c>
    </row>
    <row r="10">
      <c r="A10" t="inlineStr">
        <is>
          <t>Resumo      — totais e percentuais automáticos.</t>
        </is>
      </c>
    </row>
    <row r="11">
      <c r="A11" t="inlineStr">
        <is>
          <t>Referencia  — limites usados nas comparações. CONFIRA na NBR 15214 ou na norma da</t>
        </is>
      </c>
    </row>
    <row r="12">
      <c r="A12" t="inlineStr">
        <is>
          <t xml:space="preserve">              distribuidora e ajuste se necessário: os cálculos se atualizam.</t>
        </is>
      </c>
    </row>
    <row r="13">
      <c r="A13" t="inlineStr"/>
    </row>
    <row r="14">
      <c r="A14" t="inlineStr">
        <is>
          <t>A altura que conta é a do ponto mais baixo do cabo, normalmente o meio do vão.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7" customWidth="1" min="4" max="4"/>
    <col width="15" customWidth="1" min="5" max="5"/>
    <col width="9" customWidth="1" min="6" max="6"/>
    <col width="9" customWidth="1" min="7" max="7"/>
    <col width="13" customWidth="1" min="8" max="8"/>
    <col width="12" customWidth="1" min="9" max="9"/>
    <col width="10" customWidth="1" min="10" max="10"/>
    <col width="9" customWidth="1" min="11" max="11"/>
    <col width="11" customWidth="1" min="12" max="12"/>
    <col width="9" customWidth="1" min="13" max="13"/>
    <col width="9" customWidth="1" min="14" max="14"/>
    <col width="11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2" customWidth="1" min="24" max="24"/>
    <col width="11" customWidth="1" min="25" max="25"/>
    <col width="11" customWidth="1" min="26" max="26"/>
    <col width="11" customWidth="1" min="27" max="27"/>
    <col width="10" customWidth="1" min="28" max="28"/>
    <col width="10" customWidth="1" min="29" max="29"/>
    <col width="28" customWidth="1" min="30" max="30"/>
  </cols>
  <sheetData>
    <row r="1" ht="54" customHeight="1">
      <c r="A1" s="2" t="inlineStr">
        <is>
          <t>Poste</t>
        </is>
      </c>
      <c r="B1" s="2" t="inlineStr">
        <is>
          <t>Trecho</t>
        </is>
      </c>
      <c r="C1" s="2" t="inlineStr">
        <is>
          <t>Data</t>
        </is>
      </c>
      <c r="D1" s="2" t="inlineStr">
        <is>
          <t>Local do vão</t>
        </is>
      </c>
      <c r="E1" s="2" t="inlineStr">
        <is>
          <t>Estrutura elétrica</t>
        </is>
      </c>
      <c r="F1" s="2" t="inlineStr">
        <is>
          <t>Nº cabos telecom</t>
        </is>
      </c>
      <c r="G1" s="2" t="inlineStr">
        <is>
          <t>Nº pontos de fixação</t>
        </is>
      </c>
      <c r="H1" s="2" t="inlineStr">
        <is>
          <t>Altura mín. meio do vão — medida direta (m)</t>
        </is>
      </c>
      <c r="I1" s="2" t="inlineStr">
        <is>
          <t>Dist. horizontal (m) [método ângulo]</t>
        </is>
      </c>
      <c r="J1" s="2" t="inlineStr">
        <is>
          <t>Ângulo de visada (°)</t>
        </is>
      </c>
      <c r="K1" s="2" t="inlineStr">
        <is>
          <t>Altura dos olhos (m)</t>
        </is>
      </c>
      <c r="L1" s="2" t="inlineStr">
        <is>
          <t>Altura considerada (m)</t>
        </is>
      </c>
      <c r="M1" s="2" t="inlineStr">
        <is>
          <t>Limite (m)</t>
        </is>
      </c>
      <c r="N1" s="2" t="inlineStr">
        <is>
          <t>Altura OK?</t>
        </is>
      </c>
      <c r="O1" s="2" t="inlineStr">
        <is>
          <t>Altura do neutro no poste (m)</t>
        </is>
      </c>
      <c r="P1" s="2" t="inlineStr">
        <is>
          <t>Altura telecom mais alto no poste (m)</t>
        </is>
      </c>
      <c r="Q1" s="2" t="inlineStr">
        <is>
          <t>Afastamento telecom–neutro (m)</t>
        </is>
      </c>
      <c r="R1" s="2" t="inlineStr">
        <is>
          <t>Afastamento OK?</t>
        </is>
      </c>
      <c r="S1" s="2" t="inlineStr">
        <is>
          <t>Plaqueta em todos os cabos?</t>
        </is>
      </c>
      <c r="T1" s="2" t="inlineStr">
        <is>
          <t>Sobra enrolada no poste?</t>
        </is>
      </c>
      <c r="U1" s="2" t="inlineStr">
        <is>
          <t>Caixa de emenda &lt; 2 m do poste?</t>
        </is>
      </c>
      <c r="V1" s="2" t="inlineStr">
        <is>
          <t>Equipamento ativo no poste?</t>
        </is>
      </c>
      <c r="W1" s="2" t="inlineStr">
        <is>
          <t>Cabo solto/caído/abandonado?</t>
        </is>
      </c>
      <c r="X1" s="2" t="inlineStr">
        <is>
          <t>Cabo encostando na rede/ferragem?</t>
        </is>
      </c>
      <c r="Y1" s="2" t="inlineStr">
        <is>
          <t>Poste danificado/inclinado?</t>
        </is>
      </c>
      <c r="Z1" s="2" t="inlineStr">
        <is>
          <t>Obstrução da subida</t>
        </is>
      </c>
      <c r="AA1" s="2" t="inlineStr">
        <is>
          <t>Nº de não conformidades</t>
        </is>
      </c>
      <c r="AB1" s="2" t="inlineStr">
        <is>
          <t>Poste irregular?</t>
        </is>
      </c>
      <c r="AC1" s="2" t="inlineStr">
        <is>
          <t>Nº das fotos</t>
        </is>
      </c>
      <c r="AD1" s="2" t="inlineStr">
        <is>
          <t>Observações</t>
        </is>
      </c>
    </row>
    <row r="2">
      <c r="A2" s="3" t="n"/>
      <c r="B2" s="3" t="n"/>
      <c r="C2" s="4" t="n"/>
      <c r="D2" s="3" t="n"/>
      <c r="E2" s="3" t="n"/>
      <c r="F2" s="3" t="n"/>
      <c r="G2" s="3" t="n"/>
      <c r="H2" s="3" t="n"/>
      <c r="I2" s="3" t="n"/>
      <c r="J2" s="3" t="n"/>
      <c r="K2" s="3" t="n"/>
      <c r="L2" s="5">
        <f>IF(H2&lt;&gt;"",H2,IF(AND(I2&lt;&gt;"",J2&lt;&gt;""),ROUND(I2*TAN(RADIANS(J2))+IF(K2="",1.6,K2),2),""))</f>
        <v/>
      </c>
      <c r="M2" s="5">
        <f>IF(D2="","",IFERROR(IF(VLOOKUP(D2,Referencia!$A$2:$B$5,2,FALSE)="","",VLOOKUP(D2,Referencia!$A$2:$B$5,2,FALSE)),""))</f>
        <v/>
      </c>
      <c r="N2" s="5">
        <f>IF(OR(L2="",M2=""),"",IF(L2&gt;=M2,"C","NC"))</f>
        <v/>
      </c>
      <c r="O2" s="3" t="n"/>
      <c r="P2" s="3" t="n"/>
      <c r="Q2" s="5">
        <f>IF(OR(O2="",P2=""),"",ROUND(O2-P2,2))</f>
        <v/>
      </c>
      <c r="R2" s="5">
        <f>IF(Q2="","",IF(Q2&gt;=Referencia!$B$8,"C","NC"))</f>
        <v/>
      </c>
      <c r="S2" s="3" t="n"/>
      <c r="T2" s="3" t="n"/>
      <c r="U2" s="3" t="n"/>
      <c r="V2" s="3" t="n"/>
      <c r="W2" s="3" t="n"/>
      <c r="X2" s="3" t="n"/>
      <c r="Y2" s="3" t="n"/>
      <c r="Z2" s="3" t="n"/>
      <c r="AA2" s="5">
        <f>IF(F2="","",(N2="NC")+(R2="NC")+(S2="Não")+(S2="Parcial")+(T2="Sim")+(U2="Sim")+(V2="Sim")+(W2="Sim")+(X2="Sim"))</f>
        <v/>
      </c>
      <c r="AB2" s="5">
        <f>IF(AA2="","",IF(AA2&gt;0,"Sim","Não"))</f>
        <v/>
      </c>
      <c r="AC2" s="3" t="n"/>
      <c r="AD2" s="3" t="n"/>
    </row>
    <row r="3">
      <c r="A3" s="3" t="n"/>
      <c r="B3" s="3" t="n"/>
      <c r="C3" s="4" t="n"/>
      <c r="D3" s="3" t="n"/>
      <c r="E3" s="3" t="n"/>
      <c r="F3" s="3" t="n"/>
      <c r="G3" s="3" t="n"/>
      <c r="H3" s="3" t="n"/>
      <c r="I3" s="3" t="n"/>
      <c r="J3" s="3" t="n"/>
      <c r="K3" s="3" t="n"/>
      <c r="L3" s="5">
        <f>IF(H3&lt;&gt;"",H3,IF(AND(I3&lt;&gt;"",J3&lt;&gt;""),ROUND(I3*TAN(RADIANS(J3))+IF(K3="",1.6,K3),2),""))</f>
        <v/>
      </c>
      <c r="M3" s="5">
        <f>IF(D3="","",IFERROR(IF(VLOOKUP(D3,Referencia!$A$2:$B$5,2,FALSE)="","",VLOOKUP(D3,Referencia!$A$2:$B$5,2,FALSE)),""))</f>
        <v/>
      </c>
      <c r="N3" s="5">
        <f>IF(OR(L3="",M3=""),"",IF(L3&gt;=M3,"C","NC"))</f>
        <v/>
      </c>
      <c r="O3" s="3" t="n"/>
      <c r="P3" s="3" t="n"/>
      <c r="Q3" s="5">
        <f>IF(OR(O3="",P3=""),"",ROUND(O3-P3,2))</f>
        <v/>
      </c>
      <c r="R3" s="5">
        <f>IF(Q3="","",IF(Q3&gt;=Referencia!$B$8,"C","NC"))</f>
        <v/>
      </c>
      <c r="S3" s="3" t="n"/>
      <c r="T3" s="3" t="n"/>
      <c r="U3" s="3" t="n"/>
      <c r="V3" s="3" t="n"/>
      <c r="W3" s="3" t="n"/>
      <c r="X3" s="3" t="n"/>
      <c r="Y3" s="3" t="n"/>
      <c r="Z3" s="3" t="n"/>
      <c r="AA3" s="5">
        <f>IF(F3="","",(N3="NC")+(R3="NC")+(S3="Não")+(S3="Parcial")+(T3="Sim")+(U3="Sim")+(V3="Sim")+(W3="Sim")+(X3="Sim"))</f>
        <v/>
      </c>
      <c r="AB3" s="5">
        <f>IF(AA3="","",IF(AA3&gt;0,"Sim","Não"))</f>
        <v/>
      </c>
      <c r="AC3" s="3" t="n"/>
      <c r="AD3" s="3" t="n"/>
    </row>
    <row r="4">
      <c r="A4" s="3" t="n"/>
      <c r="B4" s="3" t="n"/>
      <c r="C4" s="4" t="n"/>
      <c r="D4" s="3" t="n"/>
      <c r="E4" s="3" t="n"/>
      <c r="F4" s="3" t="n"/>
      <c r="G4" s="3" t="n"/>
      <c r="H4" s="3" t="n"/>
      <c r="I4" s="3" t="n"/>
      <c r="J4" s="3" t="n"/>
      <c r="K4" s="3" t="n"/>
      <c r="L4" s="5">
        <f>IF(H4&lt;&gt;"",H4,IF(AND(I4&lt;&gt;"",J4&lt;&gt;""),ROUND(I4*TAN(RADIANS(J4))+IF(K4="",1.6,K4),2),""))</f>
        <v/>
      </c>
      <c r="M4" s="5">
        <f>IF(D4="","",IFERROR(IF(VLOOKUP(D4,Referencia!$A$2:$B$5,2,FALSE)="","",VLOOKUP(D4,Referencia!$A$2:$B$5,2,FALSE)),""))</f>
        <v/>
      </c>
      <c r="N4" s="5">
        <f>IF(OR(L4="",M4=""),"",IF(L4&gt;=M4,"C","NC"))</f>
        <v/>
      </c>
      <c r="O4" s="3" t="n"/>
      <c r="P4" s="3" t="n"/>
      <c r="Q4" s="5">
        <f>IF(OR(O4="",P4=""),"",ROUND(O4-P4,2))</f>
        <v/>
      </c>
      <c r="R4" s="5">
        <f>IF(Q4="","",IF(Q4&gt;=Referencia!$B$8,"C","NC"))</f>
        <v/>
      </c>
      <c r="S4" s="3" t="n"/>
      <c r="T4" s="3" t="n"/>
      <c r="U4" s="3" t="n"/>
      <c r="V4" s="3" t="n"/>
      <c r="W4" s="3" t="n"/>
      <c r="X4" s="3" t="n"/>
      <c r="Y4" s="3" t="n"/>
      <c r="Z4" s="3" t="n"/>
      <c r="AA4" s="5">
        <f>IF(F4="","",(N4="NC")+(R4="NC")+(S4="Não")+(S4="Parcial")+(T4="Sim")+(U4="Sim")+(V4="Sim")+(W4="Sim")+(X4="Sim"))</f>
        <v/>
      </c>
      <c r="AB4" s="5">
        <f>IF(AA4="","",IF(AA4&gt;0,"Sim","Não"))</f>
        <v/>
      </c>
      <c r="AC4" s="3" t="n"/>
      <c r="AD4" s="3" t="n"/>
    </row>
    <row r="5">
      <c r="A5" s="3" t="n"/>
      <c r="B5" s="3" t="n"/>
      <c r="C5" s="4" t="n"/>
      <c r="D5" s="3" t="n"/>
      <c r="E5" s="3" t="n"/>
      <c r="F5" s="3" t="n"/>
      <c r="G5" s="3" t="n"/>
      <c r="H5" s="3" t="n"/>
      <c r="I5" s="3" t="n"/>
      <c r="J5" s="3" t="n"/>
      <c r="K5" s="3" t="n"/>
      <c r="L5" s="5">
        <f>IF(H5&lt;&gt;"",H5,IF(AND(I5&lt;&gt;"",J5&lt;&gt;""),ROUND(I5*TAN(RADIANS(J5))+IF(K5="",1.6,K5),2),""))</f>
        <v/>
      </c>
      <c r="M5" s="5">
        <f>IF(D5="","",IFERROR(IF(VLOOKUP(D5,Referencia!$A$2:$B$5,2,FALSE)="","",VLOOKUP(D5,Referencia!$A$2:$B$5,2,FALSE)),""))</f>
        <v/>
      </c>
      <c r="N5" s="5">
        <f>IF(OR(L5="",M5=""),"",IF(L5&gt;=M5,"C","NC"))</f>
        <v/>
      </c>
      <c r="O5" s="3" t="n"/>
      <c r="P5" s="3" t="n"/>
      <c r="Q5" s="5">
        <f>IF(OR(O5="",P5=""),"",ROUND(O5-P5,2))</f>
        <v/>
      </c>
      <c r="R5" s="5">
        <f>IF(Q5="","",IF(Q5&gt;=Referencia!$B$8,"C","NC"))</f>
        <v/>
      </c>
      <c r="S5" s="3" t="n"/>
      <c r="T5" s="3" t="n"/>
      <c r="U5" s="3" t="n"/>
      <c r="V5" s="3" t="n"/>
      <c r="W5" s="3" t="n"/>
      <c r="X5" s="3" t="n"/>
      <c r="Y5" s="3" t="n"/>
      <c r="Z5" s="3" t="n"/>
      <c r="AA5" s="5">
        <f>IF(F5="","",(N5="NC")+(R5="NC")+(S5="Não")+(S5="Parcial")+(T5="Sim")+(U5="Sim")+(V5="Sim")+(W5="Sim")+(X5="Sim"))</f>
        <v/>
      </c>
      <c r="AB5" s="5">
        <f>IF(AA5="","",IF(AA5&gt;0,"Sim","Não"))</f>
        <v/>
      </c>
      <c r="AC5" s="3" t="n"/>
      <c r="AD5" s="3" t="n"/>
    </row>
    <row r="6">
      <c r="A6" s="3" t="n"/>
      <c r="B6" s="3" t="n"/>
      <c r="C6" s="4" t="n"/>
      <c r="D6" s="3" t="n"/>
      <c r="E6" s="3" t="n"/>
      <c r="F6" s="3" t="n"/>
      <c r="G6" s="3" t="n"/>
      <c r="H6" s="3" t="n"/>
      <c r="I6" s="3" t="n"/>
      <c r="J6" s="3" t="n"/>
      <c r="K6" s="3" t="n"/>
      <c r="L6" s="5">
        <f>IF(H6&lt;&gt;"",H6,IF(AND(I6&lt;&gt;"",J6&lt;&gt;""),ROUND(I6*TAN(RADIANS(J6))+IF(K6="",1.6,K6),2),""))</f>
        <v/>
      </c>
      <c r="M6" s="5">
        <f>IF(D6="","",IFERROR(IF(VLOOKUP(D6,Referencia!$A$2:$B$5,2,FALSE)="","",VLOOKUP(D6,Referencia!$A$2:$B$5,2,FALSE)),""))</f>
        <v/>
      </c>
      <c r="N6" s="5">
        <f>IF(OR(L6="",M6=""),"",IF(L6&gt;=M6,"C","NC"))</f>
        <v/>
      </c>
      <c r="O6" s="3" t="n"/>
      <c r="P6" s="3" t="n"/>
      <c r="Q6" s="5">
        <f>IF(OR(O6="",P6=""),"",ROUND(O6-P6,2))</f>
        <v/>
      </c>
      <c r="R6" s="5">
        <f>IF(Q6="","",IF(Q6&gt;=Referencia!$B$8,"C","NC"))</f>
        <v/>
      </c>
      <c r="S6" s="3" t="n"/>
      <c r="T6" s="3" t="n"/>
      <c r="U6" s="3" t="n"/>
      <c r="V6" s="3" t="n"/>
      <c r="W6" s="3" t="n"/>
      <c r="X6" s="3" t="n"/>
      <c r="Y6" s="3" t="n"/>
      <c r="Z6" s="3" t="n"/>
      <c r="AA6" s="5">
        <f>IF(F6="","",(N6="NC")+(R6="NC")+(S6="Não")+(S6="Parcial")+(T6="Sim")+(U6="Sim")+(V6="Sim")+(W6="Sim")+(X6="Sim"))</f>
        <v/>
      </c>
      <c r="AB6" s="5">
        <f>IF(AA6="","",IF(AA6&gt;0,"Sim","Não"))</f>
        <v/>
      </c>
      <c r="AC6" s="3" t="n"/>
      <c r="AD6" s="3" t="n"/>
    </row>
    <row r="7">
      <c r="A7" s="3" t="n"/>
      <c r="B7" s="3" t="n"/>
      <c r="C7" s="4" t="n"/>
      <c r="D7" s="3" t="n"/>
      <c r="E7" s="3" t="n"/>
      <c r="F7" s="3" t="n"/>
      <c r="G7" s="3" t="n"/>
      <c r="H7" s="3" t="n"/>
      <c r="I7" s="3" t="n"/>
      <c r="J7" s="3" t="n"/>
      <c r="K7" s="3" t="n"/>
      <c r="L7" s="5">
        <f>IF(H7&lt;&gt;"",H7,IF(AND(I7&lt;&gt;"",J7&lt;&gt;""),ROUND(I7*TAN(RADIANS(J7))+IF(K7="",1.6,K7),2),""))</f>
        <v/>
      </c>
      <c r="M7" s="5">
        <f>IF(D7="","",IFERROR(IF(VLOOKUP(D7,Referencia!$A$2:$B$5,2,FALSE)="","",VLOOKUP(D7,Referencia!$A$2:$B$5,2,FALSE)),""))</f>
        <v/>
      </c>
      <c r="N7" s="5">
        <f>IF(OR(L7="",M7=""),"",IF(L7&gt;=M7,"C","NC"))</f>
        <v/>
      </c>
      <c r="O7" s="3" t="n"/>
      <c r="P7" s="3" t="n"/>
      <c r="Q7" s="5">
        <f>IF(OR(O7="",P7=""),"",ROUND(O7-P7,2))</f>
        <v/>
      </c>
      <c r="R7" s="5">
        <f>IF(Q7="","",IF(Q7&gt;=Referencia!$B$8,"C","NC"))</f>
        <v/>
      </c>
      <c r="S7" s="3" t="n"/>
      <c r="T7" s="3" t="n"/>
      <c r="U7" s="3" t="n"/>
      <c r="V7" s="3" t="n"/>
      <c r="W7" s="3" t="n"/>
      <c r="X7" s="3" t="n"/>
      <c r="Y7" s="3" t="n"/>
      <c r="Z7" s="3" t="n"/>
      <c r="AA7" s="5">
        <f>IF(F7="","",(N7="NC")+(R7="NC")+(S7="Não")+(S7="Parcial")+(T7="Sim")+(U7="Sim")+(V7="Sim")+(W7="Sim")+(X7="Sim"))</f>
        <v/>
      </c>
      <c r="AB7" s="5">
        <f>IF(AA7="","",IF(AA7&gt;0,"Sim","Não"))</f>
        <v/>
      </c>
      <c r="AC7" s="3" t="n"/>
      <c r="AD7" s="3" t="n"/>
    </row>
    <row r="8">
      <c r="A8" s="3" t="n"/>
      <c r="B8" s="3" t="n"/>
      <c r="C8" s="4" t="n"/>
      <c r="D8" s="3" t="n"/>
      <c r="E8" s="3" t="n"/>
      <c r="F8" s="3" t="n"/>
      <c r="G8" s="3" t="n"/>
      <c r="H8" s="3" t="n"/>
      <c r="I8" s="3" t="n"/>
      <c r="J8" s="3" t="n"/>
      <c r="K8" s="3" t="n"/>
      <c r="L8" s="5">
        <f>IF(H8&lt;&gt;"",H8,IF(AND(I8&lt;&gt;"",J8&lt;&gt;""),ROUND(I8*TAN(RADIANS(J8))+IF(K8="",1.6,K8),2),""))</f>
        <v/>
      </c>
      <c r="M8" s="5">
        <f>IF(D8="","",IFERROR(IF(VLOOKUP(D8,Referencia!$A$2:$B$5,2,FALSE)="","",VLOOKUP(D8,Referencia!$A$2:$B$5,2,FALSE)),""))</f>
        <v/>
      </c>
      <c r="N8" s="5">
        <f>IF(OR(L8="",M8=""),"",IF(L8&gt;=M8,"C","NC"))</f>
        <v/>
      </c>
      <c r="O8" s="3" t="n"/>
      <c r="P8" s="3" t="n"/>
      <c r="Q8" s="5">
        <f>IF(OR(O8="",P8=""),"",ROUND(O8-P8,2))</f>
        <v/>
      </c>
      <c r="R8" s="5">
        <f>IF(Q8="","",IF(Q8&gt;=Referencia!$B$8,"C","NC"))</f>
        <v/>
      </c>
      <c r="S8" s="3" t="n"/>
      <c r="T8" s="3" t="n"/>
      <c r="U8" s="3" t="n"/>
      <c r="V8" s="3" t="n"/>
      <c r="W8" s="3" t="n"/>
      <c r="X8" s="3" t="n"/>
      <c r="Y8" s="3" t="n"/>
      <c r="Z8" s="3" t="n"/>
      <c r="AA8" s="5">
        <f>IF(F8="","",(N8="NC")+(R8="NC")+(S8="Não")+(S8="Parcial")+(T8="Sim")+(U8="Sim")+(V8="Sim")+(W8="Sim")+(X8="Sim"))</f>
        <v/>
      </c>
      <c r="AB8" s="5">
        <f>IF(AA8="","",IF(AA8&gt;0,"Sim","Não"))</f>
        <v/>
      </c>
      <c r="AC8" s="3" t="n"/>
      <c r="AD8" s="3" t="n"/>
    </row>
    <row r="9">
      <c r="A9" s="3" t="n"/>
      <c r="B9" s="3" t="n"/>
      <c r="C9" s="4" t="n"/>
      <c r="D9" s="3" t="n"/>
      <c r="E9" s="3" t="n"/>
      <c r="F9" s="3" t="n"/>
      <c r="G9" s="3" t="n"/>
      <c r="H9" s="3" t="n"/>
      <c r="I9" s="3" t="n"/>
      <c r="J9" s="3" t="n"/>
      <c r="K9" s="3" t="n"/>
      <c r="L9" s="5">
        <f>IF(H9&lt;&gt;"",H9,IF(AND(I9&lt;&gt;"",J9&lt;&gt;""),ROUND(I9*TAN(RADIANS(J9))+IF(K9="",1.6,K9),2),""))</f>
        <v/>
      </c>
      <c r="M9" s="5">
        <f>IF(D9="","",IFERROR(IF(VLOOKUP(D9,Referencia!$A$2:$B$5,2,FALSE)="","",VLOOKUP(D9,Referencia!$A$2:$B$5,2,FALSE)),""))</f>
        <v/>
      </c>
      <c r="N9" s="5">
        <f>IF(OR(L9="",M9=""),"",IF(L9&gt;=M9,"C","NC"))</f>
        <v/>
      </c>
      <c r="O9" s="3" t="n"/>
      <c r="P9" s="3" t="n"/>
      <c r="Q9" s="5">
        <f>IF(OR(O9="",P9=""),"",ROUND(O9-P9,2))</f>
        <v/>
      </c>
      <c r="R9" s="5">
        <f>IF(Q9="","",IF(Q9&gt;=Referencia!$B$8,"C","NC"))</f>
        <v/>
      </c>
      <c r="S9" s="3" t="n"/>
      <c r="T9" s="3" t="n"/>
      <c r="U9" s="3" t="n"/>
      <c r="V9" s="3" t="n"/>
      <c r="W9" s="3" t="n"/>
      <c r="X9" s="3" t="n"/>
      <c r="Y9" s="3" t="n"/>
      <c r="Z9" s="3" t="n"/>
      <c r="AA9" s="5">
        <f>IF(F9="","",(N9="NC")+(R9="NC")+(S9="Não")+(S9="Parcial")+(T9="Sim")+(U9="Sim")+(V9="Sim")+(W9="Sim")+(X9="Sim"))</f>
        <v/>
      </c>
      <c r="AB9" s="5">
        <f>IF(AA9="","",IF(AA9&gt;0,"Sim","Não"))</f>
        <v/>
      </c>
      <c r="AC9" s="3" t="n"/>
      <c r="AD9" s="3" t="n"/>
    </row>
    <row r="10">
      <c r="A10" s="3" t="n"/>
      <c r="B10" s="3" t="n"/>
      <c r="C10" s="4" t="n"/>
      <c r="D10" s="3" t="n"/>
      <c r="E10" s="3" t="n"/>
      <c r="F10" s="3" t="n"/>
      <c r="G10" s="3" t="n"/>
      <c r="H10" s="3" t="n"/>
      <c r="I10" s="3" t="n"/>
      <c r="J10" s="3" t="n"/>
      <c r="K10" s="3" t="n"/>
      <c r="L10" s="5">
        <f>IF(H10&lt;&gt;"",H10,IF(AND(I10&lt;&gt;"",J10&lt;&gt;""),ROUND(I10*TAN(RADIANS(J10))+IF(K10="",1.6,K10),2),""))</f>
        <v/>
      </c>
      <c r="M10" s="5">
        <f>IF(D10="","",IFERROR(IF(VLOOKUP(D10,Referencia!$A$2:$B$5,2,FALSE)="","",VLOOKUP(D10,Referencia!$A$2:$B$5,2,FALSE)),""))</f>
        <v/>
      </c>
      <c r="N10" s="5">
        <f>IF(OR(L10="",M10=""),"",IF(L10&gt;=M10,"C","NC"))</f>
        <v/>
      </c>
      <c r="O10" s="3" t="n"/>
      <c r="P10" s="3" t="n"/>
      <c r="Q10" s="5">
        <f>IF(OR(O10="",P10=""),"",ROUND(O10-P10,2))</f>
        <v/>
      </c>
      <c r="R10" s="5">
        <f>IF(Q10="","",IF(Q10&gt;=Referencia!$B$8,"C","NC"))</f>
        <v/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5">
        <f>IF(F10="","",(N10="NC")+(R10="NC")+(S10="Não")+(S10="Parcial")+(T10="Sim")+(U10="Sim")+(V10="Sim")+(W10="Sim")+(X10="Sim"))</f>
        <v/>
      </c>
      <c r="AB10" s="5">
        <f>IF(AA10="","",IF(AA10&gt;0,"Sim","Não"))</f>
        <v/>
      </c>
      <c r="AC10" s="3" t="n"/>
      <c r="AD10" s="3" t="n"/>
    </row>
    <row r="11">
      <c r="A11" s="3" t="n"/>
      <c r="B11" s="3" t="n"/>
      <c r="C11" s="4" t="n"/>
      <c r="D11" s="3" t="n"/>
      <c r="E11" s="3" t="n"/>
      <c r="F11" s="3" t="n"/>
      <c r="G11" s="3" t="n"/>
      <c r="H11" s="3" t="n"/>
      <c r="I11" s="3" t="n"/>
      <c r="J11" s="3" t="n"/>
      <c r="K11" s="3" t="n"/>
      <c r="L11" s="5">
        <f>IF(H11&lt;&gt;"",H11,IF(AND(I11&lt;&gt;"",J11&lt;&gt;""),ROUND(I11*TAN(RADIANS(J11))+IF(K11="",1.6,K11),2),""))</f>
        <v/>
      </c>
      <c r="M11" s="5">
        <f>IF(D11="","",IFERROR(IF(VLOOKUP(D11,Referencia!$A$2:$B$5,2,FALSE)="","",VLOOKUP(D11,Referencia!$A$2:$B$5,2,FALSE)),""))</f>
        <v/>
      </c>
      <c r="N11" s="5">
        <f>IF(OR(L11="",M11=""),"",IF(L11&gt;=M11,"C","NC"))</f>
        <v/>
      </c>
      <c r="O11" s="3" t="n"/>
      <c r="P11" s="3" t="n"/>
      <c r="Q11" s="5">
        <f>IF(OR(O11="",P11=""),"",ROUND(O11-P11,2))</f>
        <v/>
      </c>
      <c r="R11" s="5">
        <f>IF(Q11="","",IF(Q11&gt;=Referencia!$B$8,"C","NC"))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5">
        <f>IF(F11="","",(N11="NC")+(R11="NC")+(S11="Não")+(S11="Parcial")+(T11="Sim")+(U11="Sim")+(V11="Sim")+(W11="Sim")+(X11="Sim"))</f>
        <v/>
      </c>
      <c r="AB11" s="5">
        <f>IF(AA11="","",IF(AA11&gt;0,"Sim","Não"))</f>
        <v/>
      </c>
      <c r="AC11" s="3" t="n"/>
      <c r="AD11" s="3" t="n"/>
    </row>
    <row r="12">
      <c r="A12" s="3" t="n"/>
      <c r="B12" s="3" t="n"/>
      <c r="C12" s="4" t="n"/>
      <c r="D12" s="3" t="n"/>
      <c r="E12" s="3" t="n"/>
      <c r="F12" s="3" t="n"/>
      <c r="G12" s="3" t="n"/>
      <c r="H12" s="3" t="n"/>
      <c r="I12" s="3" t="n"/>
      <c r="J12" s="3" t="n"/>
      <c r="K12" s="3" t="n"/>
      <c r="L12" s="5">
        <f>IF(H12&lt;&gt;"",H12,IF(AND(I12&lt;&gt;"",J12&lt;&gt;""),ROUND(I12*TAN(RADIANS(J12))+IF(K12="",1.6,K12),2),""))</f>
        <v/>
      </c>
      <c r="M12" s="5">
        <f>IF(D12="","",IFERROR(IF(VLOOKUP(D12,Referencia!$A$2:$B$5,2,FALSE)="","",VLOOKUP(D12,Referencia!$A$2:$B$5,2,FALSE)),""))</f>
        <v/>
      </c>
      <c r="N12" s="5">
        <f>IF(OR(L12="",M12=""),"",IF(L12&gt;=M12,"C","NC"))</f>
        <v/>
      </c>
      <c r="O12" s="3" t="n"/>
      <c r="P12" s="3" t="n"/>
      <c r="Q12" s="5">
        <f>IF(OR(O12="",P12=""),"",ROUND(O12-P12,2))</f>
        <v/>
      </c>
      <c r="R12" s="5">
        <f>IF(Q12="","",IF(Q12&gt;=Referencia!$B$8,"C","NC"))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5">
        <f>IF(F12="","",(N12="NC")+(R12="NC")+(S12="Não")+(S12="Parcial")+(T12="Sim")+(U12="Sim")+(V12="Sim")+(W12="Sim")+(X12="Sim"))</f>
        <v/>
      </c>
      <c r="AB12" s="5">
        <f>IF(AA12="","",IF(AA12&gt;0,"Sim","Não"))</f>
        <v/>
      </c>
      <c r="AC12" s="3" t="n"/>
      <c r="AD12" s="3" t="n"/>
    </row>
    <row r="13">
      <c r="A13" s="3" t="n"/>
      <c r="B13" s="3" t="n"/>
      <c r="C13" s="4" t="n"/>
      <c r="D13" s="3" t="n"/>
      <c r="E13" s="3" t="n"/>
      <c r="F13" s="3" t="n"/>
      <c r="G13" s="3" t="n"/>
      <c r="H13" s="3" t="n"/>
      <c r="I13" s="3" t="n"/>
      <c r="J13" s="3" t="n"/>
      <c r="K13" s="3" t="n"/>
      <c r="L13" s="5">
        <f>IF(H13&lt;&gt;"",H13,IF(AND(I13&lt;&gt;"",J13&lt;&gt;""),ROUND(I13*TAN(RADIANS(J13))+IF(K13="",1.6,K13),2),""))</f>
        <v/>
      </c>
      <c r="M13" s="5">
        <f>IF(D13="","",IFERROR(IF(VLOOKUP(D13,Referencia!$A$2:$B$5,2,FALSE)="","",VLOOKUP(D13,Referencia!$A$2:$B$5,2,FALSE)),""))</f>
        <v/>
      </c>
      <c r="N13" s="5">
        <f>IF(OR(L13="",M13=""),"",IF(L13&gt;=M13,"C","NC"))</f>
        <v/>
      </c>
      <c r="O13" s="3" t="n"/>
      <c r="P13" s="3" t="n"/>
      <c r="Q13" s="5">
        <f>IF(OR(O13="",P13=""),"",ROUND(O13-P13,2))</f>
        <v/>
      </c>
      <c r="R13" s="5">
        <f>IF(Q13="","",IF(Q13&gt;=Referencia!$B$8,"C","NC"))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5">
        <f>IF(F13="","",(N13="NC")+(R13="NC")+(S13="Não")+(S13="Parcial")+(T13="Sim")+(U13="Sim")+(V13="Sim")+(W13="Sim")+(X13="Sim"))</f>
        <v/>
      </c>
      <c r="AB13" s="5">
        <f>IF(AA13="","",IF(AA13&gt;0,"Sim","Não"))</f>
        <v/>
      </c>
      <c r="AC13" s="3" t="n"/>
      <c r="AD13" s="3" t="n"/>
    </row>
    <row r="14">
      <c r="A14" s="3" t="n"/>
      <c r="B14" s="3" t="n"/>
      <c r="C14" s="4" t="n"/>
      <c r="D14" s="3" t="n"/>
      <c r="E14" s="3" t="n"/>
      <c r="F14" s="3" t="n"/>
      <c r="G14" s="3" t="n"/>
      <c r="H14" s="3" t="n"/>
      <c r="I14" s="3" t="n"/>
      <c r="J14" s="3" t="n"/>
      <c r="K14" s="3" t="n"/>
      <c r="L14" s="5">
        <f>IF(H14&lt;&gt;"",H14,IF(AND(I14&lt;&gt;"",J14&lt;&gt;""),ROUND(I14*TAN(RADIANS(J14))+IF(K14="",1.6,K14),2),""))</f>
        <v/>
      </c>
      <c r="M14" s="5">
        <f>IF(D14="","",IFERROR(IF(VLOOKUP(D14,Referencia!$A$2:$B$5,2,FALSE)="","",VLOOKUP(D14,Referencia!$A$2:$B$5,2,FALSE)),""))</f>
        <v/>
      </c>
      <c r="N14" s="5">
        <f>IF(OR(L14="",M14=""),"",IF(L14&gt;=M14,"C","NC"))</f>
        <v/>
      </c>
      <c r="O14" s="3" t="n"/>
      <c r="P14" s="3" t="n"/>
      <c r="Q14" s="5">
        <f>IF(OR(O14="",P14=""),"",ROUND(O14-P14,2))</f>
        <v/>
      </c>
      <c r="R14" s="5">
        <f>IF(Q14="","",IF(Q14&gt;=Referencia!$B$8,"C","NC"))</f>
        <v/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5">
        <f>IF(F14="","",(N14="NC")+(R14="NC")+(S14="Não")+(S14="Parcial")+(T14="Sim")+(U14="Sim")+(V14="Sim")+(W14="Sim")+(X14="Sim"))</f>
        <v/>
      </c>
      <c r="AB14" s="5">
        <f>IF(AA14="","",IF(AA14&gt;0,"Sim","Não"))</f>
        <v/>
      </c>
      <c r="AC14" s="3" t="n"/>
      <c r="AD14" s="3" t="n"/>
    </row>
    <row r="15">
      <c r="A15" s="3" t="n"/>
      <c r="B15" s="3" t="n"/>
      <c r="C15" s="4" t="n"/>
      <c r="D15" s="3" t="n"/>
      <c r="E15" s="3" t="n"/>
      <c r="F15" s="3" t="n"/>
      <c r="G15" s="3" t="n"/>
      <c r="H15" s="3" t="n"/>
      <c r="I15" s="3" t="n"/>
      <c r="J15" s="3" t="n"/>
      <c r="K15" s="3" t="n"/>
      <c r="L15" s="5">
        <f>IF(H15&lt;&gt;"",H15,IF(AND(I15&lt;&gt;"",J15&lt;&gt;""),ROUND(I15*TAN(RADIANS(J15))+IF(K15="",1.6,K15),2),""))</f>
        <v/>
      </c>
      <c r="M15" s="5">
        <f>IF(D15="","",IFERROR(IF(VLOOKUP(D15,Referencia!$A$2:$B$5,2,FALSE)="","",VLOOKUP(D15,Referencia!$A$2:$B$5,2,FALSE)),""))</f>
        <v/>
      </c>
      <c r="N15" s="5">
        <f>IF(OR(L15="",M15=""),"",IF(L15&gt;=M15,"C","NC"))</f>
        <v/>
      </c>
      <c r="O15" s="3" t="n"/>
      <c r="P15" s="3" t="n"/>
      <c r="Q15" s="5">
        <f>IF(OR(O15="",P15=""),"",ROUND(O15-P15,2))</f>
        <v/>
      </c>
      <c r="R15" s="5">
        <f>IF(Q15="","",IF(Q15&gt;=Referencia!$B$8,"C","NC"))</f>
        <v/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5">
        <f>IF(F15="","",(N15="NC")+(R15="NC")+(S15="Não")+(S15="Parcial")+(T15="Sim")+(U15="Sim")+(V15="Sim")+(W15="Sim")+(X15="Sim"))</f>
        <v/>
      </c>
      <c r="AB15" s="5">
        <f>IF(AA15="","",IF(AA15&gt;0,"Sim","Não"))</f>
        <v/>
      </c>
      <c r="AC15" s="3" t="n"/>
      <c r="AD15" s="3" t="n"/>
    </row>
    <row r="16">
      <c r="A16" s="3" t="n"/>
      <c r="B16" s="3" t="n"/>
      <c r="C16" s="4" t="n"/>
      <c r="D16" s="3" t="n"/>
      <c r="E16" s="3" t="n"/>
      <c r="F16" s="3" t="n"/>
      <c r="G16" s="3" t="n"/>
      <c r="H16" s="3" t="n"/>
      <c r="I16" s="3" t="n"/>
      <c r="J16" s="3" t="n"/>
      <c r="K16" s="3" t="n"/>
      <c r="L16" s="5">
        <f>IF(H16&lt;&gt;"",H16,IF(AND(I16&lt;&gt;"",J16&lt;&gt;""),ROUND(I16*TAN(RADIANS(J16))+IF(K16="",1.6,K16),2),""))</f>
        <v/>
      </c>
      <c r="M16" s="5">
        <f>IF(D16="","",IFERROR(IF(VLOOKUP(D16,Referencia!$A$2:$B$5,2,FALSE)="","",VLOOKUP(D16,Referencia!$A$2:$B$5,2,FALSE)),""))</f>
        <v/>
      </c>
      <c r="N16" s="5">
        <f>IF(OR(L16="",M16=""),"",IF(L16&gt;=M16,"C","NC"))</f>
        <v/>
      </c>
      <c r="O16" s="3" t="n"/>
      <c r="P16" s="3" t="n"/>
      <c r="Q16" s="5">
        <f>IF(OR(O16="",P16=""),"",ROUND(O16-P16,2))</f>
        <v/>
      </c>
      <c r="R16" s="5">
        <f>IF(Q16="","",IF(Q16&gt;=Referencia!$B$8,"C","NC"))</f>
        <v/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5">
        <f>IF(F16="","",(N16="NC")+(R16="NC")+(S16="Não")+(S16="Parcial")+(T16="Sim")+(U16="Sim")+(V16="Sim")+(W16="Sim")+(X16="Sim"))</f>
        <v/>
      </c>
      <c r="AB16" s="5">
        <f>IF(AA16="","",IF(AA16&gt;0,"Sim","Não"))</f>
        <v/>
      </c>
      <c r="AC16" s="3" t="n"/>
      <c r="AD16" s="3" t="n"/>
    </row>
    <row r="17">
      <c r="A17" s="3" t="n"/>
      <c r="B17" s="3" t="n"/>
      <c r="C17" s="4" t="n"/>
      <c r="D17" s="3" t="n"/>
      <c r="E17" s="3" t="n"/>
      <c r="F17" s="3" t="n"/>
      <c r="G17" s="3" t="n"/>
      <c r="H17" s="3" t="n"/>
      <c r="I17" s="3" t="n"/>
      <c r="J17" s="3" t="n"/>
      <c r="K17" s="3" t="n"/>
      <c r="L17" s="5">
        <f>IF(H17&lt;&gt;"",H17,IF(AND(I17&lt;&gt;"",J17&lt;&gt;""),ROUND(I17*TAN(RADIANS(J17))+IF(K17="",1.6,K17),2),""))</f>
        <v/>
      </c>
      <c r="M17" s="5">
        <f>IF(D17="","",IFERROR(IF(VLOOKUP(D17,Referencia!$A$2:$B$5,2,FALSE)="","",VLOOKUP(D17,Referencia!$A$2:$B$5,2,FALSE)),""))</f>
        <v/>
      </c>
      <c r="N17" s="5">
        <f>IF(OR(L17="",M17=""),"",IF(L17&gt;=M17,"C","NC"))</f>
        <v/>
      </c>
      <c r="O17" s="3" t="n"/>
      <c r="P17" s="3" t="n"/>
      <c r="Q17" s="5">
        <f>IF(OR(O17="",P17=""),"",ROUND(O17-P17,2))</f>
        <v/>
      </c>
      <c r="R17" s="5">
        <f>IF(Q17="","",IF(Q17&gt;=Referencia!$B$8,"C","NC"))</f>
        <v/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5">
        <f>IF(F17="","",(N17="NC")+(R17="NC")+(S17="Não")+(S17="Parcial")+(T17="Sim")+(U17="Sim")+(V17="Sim")+(W17="Sim")+(X17="Sim"))</f>
        <v/>
      </c>
      <c r="AB17" s="5">
        <f>IF(AA17="","",IF(AA17&gt;0,"Sim","Não"))</f>
        <v/>
      </c>
      <c r="AC17" s="3" t="n"/>
      <c r="AD17" s="3" t="n"/>
    </row>
    <row r="18">
      <c r="A18" s="3" t="n"/>
      <c r="B18" s="3" t="n"/>
      <c r="C18" s="4" t="n"/>
      <c r="D18" s="3" t="n"/>
      <c r="E18" s="3" t="n"/>
      <c r="F18" s="3" t="n"/>
      <c r="G18" s="3" t="n"/>
      <c r="H18" s="3" t="n"/>
      <c r="I18" s="3" t="n"/>
      <c r="J18" s="3" t="n"/>
      <c r="K18" s="3" t="n"/>
      <c r="L18" s="5">
        <f>IF(H18&lt;&gt;"",H18,IF(AND(I18&lt;&gt;"",J18&lt;&gt;""),ROUND(I18*TAN(RADIANS(J18))+IF(K18="",1.6,K18),2),""))</f>
        <v/>
      </c>
      <c r="M18" s="5">
        <f>IF(D18="","",IFERROR(IF(VLOOKUP(D18,Referencia!$A$2:$B$5,2,FALSE)="","",VLOOKUP(D18,Referencia!$A$2:$B$5,2,FALSE)),""))</f>
        <v/>
      </c>
      <c r="N18" s="5">
        <f>IF(OR(L18="",M18=""),"",IF(L18&gt;=M18,"C","NC"))</f>
        <v/>
      </c>
      <c r="O18" s="3" t="n"/>
      <c r="P18" s="3" t="n"/>
      <c r="Q18" s="5">
        <f>IF(OR(O18="",P18=""),"",ROUND(O18-P18,2))</f>
        <v/>
      </c>
      <c r="R18" s="5">
        <f>IF(Q18="","",IF(Q18&gt;=Referencia!$B$8,"C","NC"))</f>
        <v/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5">
        <f>IF(F18="","",(N18="NC")+(R18="NC")+(S18="Não")+(S18="Parcial")+(T18="Sim")+(U18="Sim")+(V18="Sim")+(W18="Sim")+(X18="Sim"))</f>
        <v/>
      </c>
      <c r="AB18" s="5">
        <f>IF(AA18="","",IF(AA18&gt;0,"Sim","Não"))</f>
        <v/>
      </c>
      <c r="AC18" s="3" t="n"/>
      <c r="AD18" s="3" t="n"/>
    </row>
    <row r="19">
      <c r="A19" s="3" t="n"/>
      <c r="B19" s="3" t="n"/>
      <c r="C19" s="4" t="n"/>
      <c r="D19" s="3" t="n"/>
      <c r="E19" s="3" t="n"/>
      <c r="F19" s="3" t="n"/>
      <c r="G19" s="3" t="n"/>
      <c r="H19" s="3" t="n"/>
      <c r="I19" s="3" t="n"/>
      <c r="J19" s="3" t="n"/>
      <c r="K19" s="3" t="n"/>
      <c r="L19" s="5">
        <f>IF(H19&lt;&gt;"",H19,IF(AND(I19&lt;&gt;"",J19&lt;&gt;""),ROUND(I19*TAN(RADIANS(J19))+IF(K19="",1.6,K19),2),""))</f>
        <v/>
      </c>
      <c r="M19" s="5">
        <f>IF(D19="","",IFERROR(IF(VLOOKUP(D19,Referencia!$A$2:$B$5,2,FALSE)="","",VLOOKUP(D19,Referencia!$A$2:$B$5,2,FALSE)),""))</f>
        <v/>
      </c>
      <c r="N19" s="5">
        <f>IF(OR(L19="",M19=""),"",IF(L19&gt;=M19,"C","NC"))</f>
        <v/>
      </c>
      <c r="O19" s="3" t="n"/>
      <c r="P19" s="3" t="n"/>
      <c r="Q19" s="5">
        <f>IF(OR(O19="",P19=""),"",ROUND(O19-P19,2))</f>
        <v/>
      </c>
      <c r="R19" s="5">
        <f>IF(Q19="","",IF(Q19&gt;=Referencia!$B$8,"C","NC"))</f>
        <v/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5">
        <f>IF(F19="","",(N19="NC")+(R19="NC")+(S19="Não")+(S19="Parcial")+(T19="Sim")+(U19="Sim")+(V19="Sim")+(W19="Sim")+(X19="Sim"))</f>
        <v/>
      </c>
      <c r="AB19" s="5">
        <f>IF(AA19="","",IF(AA19&gt;0,"Sim","Não"))</f>
        <v/>
      </c>
      <c r="AC19" s="3" t="n"/>
      <c r="AD19" s="3" t="n"/>
    </row>
    <row r="20">
      <c r="A20" s="3" t="n"/>
      <c r="B20" s="3" t="n"/>
      <c r="C20" s="4" t="n"/>
      <c r="D20" s="3" t="n"/>
      <c r="E20" s="3" t="n"/>
      <c r="F20" s="3" t="n"/>
      <c r="G20" s="3" t="n"/>
      <c r="H20" s="3" t="n"/>
      <c r="I20" s="3" t="n"/>
      <c r="J20" s="3" t="n"/>
      <c r="K20" s="3" t="n"/>
      <c r="L20" s="5">
        <f>IF(H20&lt;&gt;"",H20,IF(AND(I20&lt;&gt;"",J20&lt;&gt;""),ROUND(I20*TAN(RADIANS(J20))+IF(K20="",1.6,K20),2),""))</f>
        <v/>
      </c>
      <c r="M20" s="5">
        <f>IF(D20="","",IFERROR(IF(VLOOKUP(D20,Referencia!$A$2:$B$5,2,FALSE)="","",VLOOKUP(D20,Referencia!$A$2:$B$5,2,FALSE)),""))</f>
        <v/>
      </c>
      <c r="N20" s="5">
        <f>IF(OR(L20="",M20=""),"",IF(L20&gt;=M20,"C","NC"))</f>
        <v/>
      </c>
      <c r="O20" s="3" t="n"/>
      <c r="P20" s="3" t="n"/>
      <c r="Q20" s="5">
        <f>IF(OR(O20="",P20=""),"",ROUND(O20-P20,2))</f>
        <v/>
      </c>
      <c r="R20" s="5">
        <f>IF(Q20="","",IF(Q20&gt;=Referencia!$B$8,"C","NC"))</f>
        <v/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5">
        <f>IF(F20="","",(N20="NC")+(R20="NC")+(S20="Não")+(S20="Parcial")+(T20="Sim")+(U20="Sim")+(V20="Sim")+(W20="Sim")+(X20="Sim"))</f>
        <v/>
      </c>
      <c r="AB20" s="5">
        <f>IF(AA20="","",IF(AA20&gt;0,"Sim","Não"))</f>
        <v/>
      </c>
      <c r="AC20" s="3" t="n"/>
      <c r="AD20" s="3" t="n"/>
    </row>
    <row r="21">
      <c r="A21" s="3" t="n"/>
      <c r="B21" s="3" t="n"/>
      <c r="C21" s="4" t="n"/>
      <c r="D21" s="3" t="n"/>
      <c r="E21" s="3" t="n"/>
      <c r="F21" s="3" t="n"/>
      <c r="G21" s="3" t="n"/>
      <c r="H21" s="3" t="n"/>
      <c r="I21" s="3" t="n"/>
      <c r="J21" s="3" t="n"/>
      <c r="K21" s="3" t="n"/>
      <c r="L21" s="5">
        <f>IF(H21&lt;&gt;"",H21,IF(AND(I21&lt;&gt;"",J21&lt;&gt;""),ROUND(I21*TAN(RADIANS(J21))+IF(K21="",1.6,K21),2),""))</f>
        <v/>
      </c>
      <c r="M21" s="5">
        <f>IF(D21="","",IFERROR(IF(VLOOKUP(D21,Referencia!$A$2:$B$5,2,FALSE)="","",VLOOKUP(D21,Referencia!$A$2:$B$5,2,FALSE)),""))</f>
        <v/>
      </c>
      <c r="N21" s="5">
        <f>IF(OR(L21="",M21=""),"",IF(L21&gt;=M21,"C","NC"))</f>
        <v/>
      </c>
      <c r="O21" s="3" t="n"/>
      <c r="P21" s="3" t="n"/>
      <c r="Q21" s="5">
        <f>IF(OR(O21="",P21=""),"",ROUND(O21-P21,2))</f>
        <v/>
      </c>
      <c r="R21" s="5">
        <f>IF(Q21="","",IF(Q21&gt;=Referencia!$B$8,"C","NC"))</f>
        <v/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5">
        <f>IF(F21="","",(N21="NC")+(R21="NC")+(S21="Não")+(S21="Parcial")+(T21="Sim")+(U21="Sim")+(V21="Sim")+(W21="Sim")+(X21="Sim"))</f>
        <v/>
      </c>
      <c r="AB21" s="5">
        <f>IF(AA21="","",IF(AA21&gt;0,"Sim","Não"))</f>
        <v/>
      </c>
      <c r="AC21" s="3" t="n"/>
      <c r="AD21" s="3" t="n"/>
    </row>
    <row r="22">
      <c r="A22" s="3" t="n"/>
      <c r="B22" s="3" t="n"/>
      <c r="C22" s="4" t="n"/>
      <c r="D22" s="3" t="n"/>
      <c r="E22" s="3" t="n"/>
      <c r="F22" s="3" t="n"/>
      <c r="G22" s="3" t="n"/>
      <c r="H22" s="3" t="n"/>
      <c r="I22" s="3" t="n"/>
      <c r="J22" s="3" t="n"/>
      <c r="K22" s="3" t="n"/>
      <c r="L22" s="5">
        <f>IF(H22&lt;&gt;"",H22,IF(AND(I22&lt;&gt;"",J22&lt;&gt;""),ROUND(I22*TAN(RADIANS(J22))+IF(K22="",1.6,K22),2),""))</f>
        <v/>
      </c>
      <c r="M22" s="5">
        <f>IF(D22="","",IFERROR(IF(VLOOKUP(D22,Referencia!$A$2:$B$5,2,FALSE)="","",VLOOKUP(D22,Referencia!$A$2:$B$5,2,FALSE)),""))</f>
        <v/>
      </c>
      <c r="N22" s="5">
        <f>IF(OR(L22="",M22=""),"",IF(L22&gt;=M22,"C","NC"))</f>
        <v/>
      </c>
      <c r="O22" s="3" t="n"/>
      <c r="P22" s="3" t="n"/>
      <c r="Q22" s="5">
        <f>IF(OR(O22="",P22=""),"",ROUND(O22-P22,2))</f>
        <v/>
      </c>
      <c r="R22" s="5">
        <f>IF(Q22="","",IF(Q22&gt;=Referencia!$B$8,"C","NC"))</f>
        <v/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5">
        <f>IF(F22="","",(N22="NC")+(R22="NC")+(S22="Não")+(S22="Parcial")+(T22="Sim")+(U22="Sim")+(V22="Sim")+(W22="Sim")+(X22="Sim"))</f>
        <v/>
      </c>
      <c r="AB22" s="5">
        <f>IF(AA22="","",IF(AA22&gt;0,"Sim","Não"))</f>
        <v/>
      </c>
      <c r="AC22" s="3" t="n"/>
      <c r="AD22" s="3" t="n"/>
    </row>
    <row r="23">
      <c r="A23" s="3" t="n"/>
      <c r="B23" s="3" t="n"/>
      <c r="C23" s="4" t="n"/>
      <c r="D23" s="3" t="n"/>
      <c r="E23" s="3" t="n"/>
      <c r="F23" s="3" t="n"/>
      <c r="G23" s="3" t="n"/>
      <c r="H23" s="3" t="n"/>
      <c r="I23" s="3" t="n"/>
      <c r="J23" s="3" t="n"/>
      <c r="K23" s="3" t="n"/>
      <c r="L23" s="5">
        <f>IF(H23&lt;&gt;"",H23,IF(AND(I23&lt;&gt;"",J23&lt;&gt;""),ROUND(I23*TAN(RADIANS(J23))+IF(K23="",1.6,K23),2),""))</f>
        <v/>
      </c>
      <c r="M23" s="5">
        <f>IF(D23="","",IFERROR(IF(VLOOKUP(D23,Referencia!$A$2:$B$5,2,FALSE)="","",VLOOKUP(D23,Referencia!$A$2:$B$5,2,FALSE)),""))</f>
        <v/>
      </c>
      <c r="N23" s="5">
        <f>IF(OR(L23="",M23=""),"",IF(L23&gt;=M23,"C","NC"))</f>
        <v/>
      </c>
      <c r="O23" s="3" t="n"/>
      <c r="P23" s="3" t="n"/>
      <c r="Q23" s="5">
        <f>IF(OR(O23="",P23=""),"",ROUND(O23-P23,2))</f>
        <v/>
      </c>
      <c r="R23" s="5">
        <f>IF(Q23="","",IF(Q23&gt;=Referencia!$B$8,"C","NC"))</f>
        <v/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5">
        <f>IF(F23="","",(N23="NC")+(R23="NC")+(S23="Não")+(S23="Parcial")+(T23="Sim")+(U23="Sim")+(V23="Sim")+(W23="Sim")+(X23="Sim"))</f>
        <v/>
      </c>
      <c r="AB23" s="5">
        <f>IF(AA23="","",IF(AA23&gt;0,"Sim","Não"))</f>
        <v/>
      </c>
      <c r="AC23" s="3" t="n"/>
      <c r="AD23" s="3" t="n"/>
    </row>
    <row r="24">
      <c r="A24" s="3" t="n"/>
      <c r="B24" s="3" t="n"/>
      <c r="C24" s="4" t="n"/>
      <c r="D24" s="3" t="n"/>
      <c r="E24" s="3" t="n"/>
      <c r="F24" s="3" t="n"/>
      <c r="G24" s="3" t="n"/>
      <c r="H24" s="3" t="n"/>
      <c r="I24" s="3" t="n"/>
      <c r="J24" s="3" t="n"/>
      <c r="K24" s="3" t="n"/>
      <c r="L24" s="5">
        <f>IF(H24&lt;&gt;"",H24,IF(AND(I24&lt;&gt;"",J24&lt;&gt;""),ROUND(I24*TAN(RADIANS(J24))+IF(K24="",1.6,K24),2),""))</f>
        <v/>
      </c>
      <c r="M24" s="5">
        <f>IF(D24="","",IFERROR(IF(VLOOKUP(D24,Referencia!$A$2:$B$5,2,FALSE)="","",VLOOKUP(D24,Referencia!$A$2:$B$5,2,FALSE)),""))</f>
        <v/>
      </c>
      <c r="N24" s="5">
        <f>IF(OR(L24="",M24=""),"",IF(L24&gt;=M24,"C","NC"))</f>
        <v/>
      </c>
      <c r="O24" s="3" t="n"/>
      <c r="P24" s="3" t="n"/>
      <c r="Q24" s="5">
        <f>IF(OR(O24="",P24=""),"",ROUND(O24-P24,2))</f>
        <v/>
      </c>
      <c r="R24" s="5">
        <f>IF(Q24="","",IF(Q24&gt;=Referencia!$B$8,"C","NC"))</f>
        <v/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5">
        <f>IF(F24="","",(N24="NC")+(R24="NC")+(S24="Não")+(S24="Parcial")+(T24="Sim")+(U24="Sim")+(V24="Sim")+(W24="Sim")+(X24="Sim"))</f>
        <v/>
      </c>
      <c r="AB24" s="5">
        <f>IF(AA24="","",IF(AA24&gt;0,"Sim","Não"))</f>
        <v/>
      </c>
      <c r="AC24" s="3" t="n"/>
      <c r="AD24" s="3" t="n"/>
    </row>
    <row r="25">
      <c r="A25" s="3" t="n"/>
      <c r="B25" s="3" t="n"/>
      <c r="C25" s="4" t="n"/>
      <c r="D25" s="3" t="n"/>
      <c r="E25" s="3" t="n"/>
      <c r="F25" s="3" t="n"/>
      <c r="G25" s="3" t="n"/>
      <c r="H25" s="3" t="n"/>
      <c r="I25" s="3" t="n"/>
      <c r="J25" s="3" t="n"/>
      <c r="K25" s="3" t="n"/>
      <c r="L25" s="5">
        <f>IF(H25&lt;&gt;"",H25,IF(AND(I25&lt;&gt;"",J25&lt;&gt;""),ROUND(I25*TAN(RADIANS(J25))+IF(K25="",1.6,K25),2),""))</f>
        <v/>
      </c>
      <c r="M25" s="5">
        <f>IF(D25="","",IFERROR(IF(VLOOKUP(D25,Referencia!$A$2:$B$5,2,FALSE)="","",VLOOKUP(D25,Referencia!$A$2:$B$5,2,FALSE)),""))</f>
        <v/>
      </c>
      <c r="N25" s="5">
        <f>IF(OR(L25="",M25=""),"",IF(L25&gt;=M25,"C","NC"))</f>
        <v/>
      </c>
      <c r="O25" s="3" t="n"/>
      <c r="P25" s="3" t="n"/>
      <c r="Q25" s="5">
        <f>IF(OR(O25="",P25=""),"",ROUND(O25-P25,2))</f>
        <v/>
      </c>
      <c r="R25" s="5">
        <f>IF(Q25="","",IF(Q25&gt;=Referencia!$B$8,"C","NC"))</f>
        <v/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5">
        <f>IF(F25="","",(N25="NC")+(R25="NC")+(S25="Não")+(S25="Parcial")+(T25="Sim")+(U25="Sim")+(V25="Sim")+(W25="Sim")+(X25="Sim"))</f>
        <v/>
      </c>
      <c r="AB25" s="5">
        <f>IF(AA25="","",IF(AA25&gt;0,"Sim","Não"))</f>
        <v/>
      </c>
      <c r="AC25" s="3" t="n"/>
      <c r="AD25" s="3" t="n"/>
    </row>
    <row r="26">
      <c r="A26" s="3" t="n"/>
      <c r="B26" s="3" t="n"/>
      <c r="C26" s="4" t="n"/>
      <c r="D26" s="3" t="n"/>
      <c r="E26" s="3" t="n"/>
      <c r="F26" s="3" t="n"/>
      <c r="G26" s="3" t="n"/>
      <c r="H26" s="3" t="n"/>
      <c r="I26" s="3" t="n"/>
      <c r="J26" s="3" t="n"/>
      <c r="K26" s="3" t="n"/>
      <c r="L26" s="5">
        <f>IF(H26&lt;&gt;"",H26,IF(AND(I26&lt;&gt;"",J26&lt;&gt;""),ROUND(I26*TAN(RADIANS(J26))+IF(K26="",1.6,K26),2),""))</f>
        <v/>
      </c>
      <c r="M26" s="5">
        <f>IF(D26="","",IFERROR(IF(VLOOKUP(D26,Referencia!$A$2:$B$5,2,FALSE)="","",VLOOKUP(D26,Referencia!$A$2:$B$5,2,FALSE)),""))</f>
        <v/>
      </c>
      <c r="N26" s="5">
        <f>IF(OR(L26="",M26=""),"",IF(L26&gt;=M26,"C","NC"))</f>
        <v/>
      </c>
      <c r="O26" s="3" t="n"/>
      <c r="P26" s="3" t="n"/>
      <c r="Q26" s="5">
        <f>IF(OR(O26="",P26=""),"",ROUND(O26-P26,2))</f>
        <v/>
      </c>
      <c r="R26" s="5">
        <f>IF(Q26="","",IF(Q26&gt;=Referencia!$B$8,"C","NC"))</f>
        <v/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5">
        <f>IF(F26="","",(N26="NC")+(R26="NC")+(S26="Não")+(S26="Parcial")+(T26="Sim")+(U26="Sim")+(V26="Sim")+(W26="Sim")+(X26="Sim"))</f>
        <v/>
      </c>
      <c r="AB26" s="5">
        <f>IF(AA26="","",IF(AA26&gt;0,"Sim","Não"))</f>
        <v/>
      </c>
      <c r="AC26" s="3" t="n"/>
      <c r="AD26" s="3" t="n"/>
    </row>
    <row r="27">
      <c r="A27" s="3" t="n"/>
      <c r="B27" s="3" t="n"/>
      <c r="C27" s="4" t="n"/>
      <c r="D27" s="3" t="n"/>
      <c r="E27" s="3" t="n"/>
      <c r="F27" s="3" t="n"/>
      <c r="G27" s="3" t="n"/>
      <c r="H27" s="3" t="n"/>
      <c r="I27" s="3" t="n"/>
      <c r="J27" s="3" t="n"/>
      <c r="K27" s="3" t="n"/>
      <c r="L27" s="5">
        <f>IF(H27&lt;&gt;"",H27,IF(AND(I27&lt;&gt;"",J27&lt;&gt;""),ROUND(I27*TAN(RADIANS(J27))+IF(K27="",1.6,K27),2),""))</f>
        <v/>
      </c>
      <c r="M27" s="5">
        <f>IF(D27="","",IFERROR(IF(VLOOKUP(D27,Referencia!$A$2:$B$5,2,FALSE)="","",VLOOKUP(D27,Referencia!$A$2:$B$5,2,FALSE)),""))</f>
        <v/>
      </c>
      <c r="N27" s="5">
        <f>IF(OR(L27="",M27=""),"",IF(L27&gt;=M27,"C","NC"))</f>
        <v/>
      </c>
      <c r="O27" s="3" t="n"/>
      <c r="P27" s="3" t="n"/>
      <c r="Q27" s="5">
        <f>IF(OR(O27="",P27=""),"",ROUND(O27-P27,2))</f>
        <v/>
      </c>
      <c r="R27" s="5">
        <f>IF(Q27="","",IF(Q27&gt;=Referencia!$B$8,"C","NC"))</f>
        <v/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5">
        <f>IF(F27="","",(N27="NC")+(R27="NC")+(S27="Não")+(S27="Parcial")+(T27="Sim")+(U27="Sim")+(V27="Sim")+(W27="Sim")+(X27="Sim"))</f>
        <v/>
      </c>
      <c r="AB27" s="5">
        <f>IF(AA27="","",IF(AA27&gt;0,"Sim","Não"))</f>
        <v/>
      </c>
      <c r="AC27" s="3" t="n"/>
      <c r="AD27" s="3" t="n"/>
    </row>
    <row r="28">
      <c r="A28" s="3" t="n"/>
      <c r="B28" s="3" t="n"/>
      <c r="C28" s="4" t="n"/>
      <c r="D28" s="3" t="n"/>
      <c r="E28" s="3" t="n"/>
      <c r="F28" s="3" t="n"/>
      <c r="G28" s="3" t="n"/>
      <c r="H28" s="3" t="n"/>
      <c r="I28" s="3" t="n"/>
      <c r="J28" s="3" t="n"/>
      <c r="K28" s="3" t="n"/>
      <c r="L28" s="5">
        <f>IF(H28&lt;&gt;"",H28,IF(AND(I28&lt;&gt;"",J28&lt;&gt;""),ROUND(I28*TAN(RADIANS(J28))+IF(K28="",1.6,K28),2),""))</f>
        <v/>
      </c>
      <c r="M28" s="5">
        <f>IF(D28="","",IFERROR(IF(VLOOKUP(D28,Referencia!$A$2:$B$5,2,FALSE)="","",VLOOKUP(D28,Referencia!$A$2:$B$5,2,FALSE)),""))</f>
        <v/>
      </c>
      <c r="N28" s="5">
        <f>IF(OR(L28="",M28=""),"",IF(L28&gt;=M28,"C","NC"))</f>
        <v/>
      </c>
      <c r="O28" s="3" t="n"/>
      <c r="P28" s="3" t="n"/>
      <c r="Q28" s="5">
        <f>IF(OR(O28="",P28=""),"",ROUND(O28-P28,2))</f>
        <v/>
      </c>
      <c r="R28" s="5">
        <f>IF(Q28="","",IF(Q28&gt;=Referencia!$B$8,"C","NC"))</f>
        <v/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5">
        <f>IF(F28="","",(N28="NC")+(R28="NC")+(S28="Não")+(S28="Parcial")+(T28="Sim")+(U28="Sim")+(V28="Sim")+(W28="Sim")+(X28="Sim"))</f>
        <v/>
      </c>
      <c r="AB28" s="5">
        <f>IF(AA28="","",IF(AA28&gt;0,"Sim","Não"))</f>
        <v/>
      </c>
      <c r="AC28" s="3" t="n"/>
      <c r="AD28" s="3" t="n"/>
    </row>
    <row r="29">
      <c r="A29" s="3" t="n"/>
      <c r="B29" s="3" t="n"/>
      <c r="C29" s="4" t="n"/>
      <c r="D29" s="3" t="n"/>
      <c r="E29" s="3" t="n"/>
      <c r="F29" s="3" t="n"/>
      <c r="G29" s="3" t="n"/>
      <c r="H29" s="3" t="n"/>
      <c r="I29" s="3" t="n"/>
      <c r="J29" s="3" t="n"/>
      <c r="K29" s="3" t="n"/>
      <c r="L29" s="5">
        <f>IF(H29&lt;&gt;"",H29,IF(AND(I29&lt;&gt;"",J29&lt;&gt;""),ROUND(I29*TAN(RADIANS(J29))+IF(K29="",1.6,K29),2),""))</f>
        <v/>
      </c>
      <c r="M29" s="5">
        <f>IF(D29="","",IFERROR(IF(VLOOKUP(D29,Referencia!$A$2:$B$5,2,FALSE)="","",VLOOKUP(D29,Referencia!$A$2:$B$5,2,FALSE)),""))</f>
        <v/>
      </c>
      <c r="N29" s="5">
        <f>IF(OR(L29="",M29=""),"",IF(L29&gt;=M29,"C","NC"))</f>
        <v/>
      </c>
      <c r="O29" s="3" t="n"/>
      <c r="P29" s="3" t="n"/>
      <c r="Q29" s="5">
        <f>IF(OR(O29="",P29=""),"",ROUND(O29-P29,2))</f>
        <v/>
      </c>
      <c r="R29" s="5">
        <f>IF(Q29="","",IF(Q29&gt;=Referencia!$B$8,"C","NC"))</f>
        <v/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5">
        <f>IF(F29="","",(N29="NC")+(R29="NC")+(S29="Não")+(S29="Parcial")+(T29="Sim")+(U29="Sim")+(V29="Sim")+(W29="Sim")+(X29="Sim"))</f>
        <v/>
      </c>
      <c r="AB29" s="5">
        <f>IF(AA29="","",IF(AA29&gt;0,"Sim","Não"))</f>
        <v/>
      </c>
      <c r="AC29" s="3" t="n"/>
      <c r="AD29" s="3" t="n"/>
    </row>
    <row r="30">
      <c r="A30" s="3" t="n"/>
      <c r="B30" s="3" t="n"/>
      <c r="C30" s="4" t="n"/>
      <c r="D30" s="3" t="n"/>
      <c r="E30" s="3" t="n"/>
      <c r="F30" s="3" t="n"/>
      <c r="G30" s="3" t="n"/>
      <c r="H30" s="3" t="n"/>
      <c r="I30" s="3" t="n"/>
      <c r="J30" s="3" t="n"/>
      <c r="K30" s="3" t="n"/>
      <c r="L30" s="5">
        <f>IF(H30&lt;&gt;"",H30,IF(AND(I30&lt;&gt;"",J30&lt;&gt;""),ROUND(I30*TAN(RADIANS(J30))+IF(K30="",1.6,K30),2),""))</f>
        <v/>
      </c>
      <c r="M30" s="5">
        <f>IF(D30="","",IFERROR(IF(VLOOKUP(D30,Referencia!$A$2:$B$5,2,FALSE)="","",VLOOKUP(D30,Referencia!$A$2:$B$5,2,FALSE)),""))</f>
        <v/>
      </c>
      <c r="N30" s="5">
        <f>IF(OR(L30="",M30=""),"",IF(L30&gt;=M30,"C","NC"))</f>
        <v/>
      </c>
      <c r="O30" s="3" t="n"/>
      <c r="P30" s="3" t="n"/>
      <c r="Q30" s="5">
        <f>IF(OR(O30="",P30=""),"",ROUND(O30-P30,2))</f>
        <v/>
      </c>
      <c r="R30" s="5">
        <f>IF(Q30="","",IF(Q30&gt;=Referencia!$B$8,"C","NC"))</f>
        <v/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5">
        <f>IF(F30="","",(N30="NC")+(R30="NC")+(S30="Não")+(S30="Parcial")+(T30="Sim")+(U30="Sim")+(V30="Sim")+(W30="Sim")+(X30="Sim"))</f>
        <v/>
      </c>
      <c r="AB30" s="5">
        <f>IF(AA30="","",IF(AA30&gt;0,"Sim","Não"))</f>
        <v/>
      </c>
      <c r="AC30" s="3" t="n"/>
      <c r="AD30" s="3" t="n"/>
    </row>
    <row r="31">
      <c r="A31" s="3" t="n"/>
      <c r="B31" s="3" t="n"/>
      <c r="C31" s="4" t="n"/>
      <c r="D31" s="3" t="n"/>
      <c r="E31" s="3" t="n"/>
      <c r="F31" s="3" t="n"/>
      <c r="G31" s="3" t="n"/>
      <c r="H31" s="3" t="n"/>
      <c r="I31" s="3" t="n"/>
      <c r="J31" s="3" t="n"/>
      <c r="K31" s="3" t="n"/>
      <c r="L31" s="5">
        <f>IF(H31&lt;&gt;"",H31,IF(AND(I31&lt;&gt;"",J31&lt;&gt;""),ROUND(I31*TAN(RADIANS(J31))+IF(K31="",1.6,K31),2),""))</f>
        <v/>
      </c>
      <c r="M31" s="5">
        <f>IF(D31="","",IFERROR(IF(VLOOKUP(D31,Referencia!$A$2:$B$5,2,FALSE)="","",VLOOKUP(D31,Referencia!$A$2:$B$5,2,FALSE)),""))</f>
        <v/>
      </c>
      <c r="N31" s="5">
        <f>IF(OR(L31="",M31=""),"",IF(L31&gt;=M31,"C","NC"))</f>
        <v/>
      </c>
      <c r="O31" s="3" t="n"/>
      <c r="P31" s="3" t="n"/>
      <c r="Q31" s="5">
        <f>IF(OR(O31="",P31=""),"",ROUND(O31-P31,2))</f>
        <v/>
      </c>
      <c r="R31" s="5">
        <f>IF(Q31="","",IF(Q31&gt;=Referencia!$B$8,"C","NC"))</f>
        <v/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5">
        <f>IF(F31="","",(N31="NC")+(R31="NC")+(S31="Não")+(S31="Parcial")+(T31="Sim")+(U31="Sim")+(V31="Sim")+(W31="Sim")+(X31="Sim"))</f>
        <v/>
      </c>
      <c r="AB31" s="5">
        <f>IF(AA31="","",IF(AA31&gt;0,"Sim","Não"))</f>
        <v/>
      </c>
      <c r="AC31" s="3" t="n"/>
      <c r="AD31" s="3" t="n"/>
    </row>
    <row r="32">
      <c r="A32" s="3" t="n"/>
      <c r="B32" s="3" t="n"/>
      <c r="C32" s="4" t="n"/>
      <c r="D32" s="3" t="n"/>
      <c r="E32" s="3" t="n"/>
      <c r="F32" s="3" t="n"/>
      <c r="G32" s="3" t="n"/>
      <c r="H32" s="3" t="n"/>
      <c r="I32" s="3" t="n"/>
      <c r="J32" s="3" t="n"/>
      <c r="K32" s="3" t="n"/>
      <c r="L32" s="5">
        <f>IF(H32&lt;&gt;"",H32,IF(AND(I32&lt;&gt;"",J32&lt;&gt;""),ROUND(I32*TAN(RADIANS(J32))+IF(K32="",1.6,K32),2),""))</f>
        <v/>
      </c>
      <c r="M32" s="5">
        <f>IF(D32="","",IFERROR(IF(VLOOKUP(D32,Referencia!$A$2:$B$5,2,FALSE)="","",VLOOKUP(D32,Referencia!$A$2:$B$5,2,FALSE)),""))</f>
        <v/>
      </c>
      <c r="N32" s="5">
        <f>IF(OR(L32="",M32=""),"",IF(L32&gt;=M32,"C","NC"))</f>
        <v/>
      </c>
      <c r="O32" s="3" t="n"/>
      <c r="P32" s="3" t="n"/>
      <c r="Q32" s="5">
        <f>IF(OR(O32="",P32=""),"",ROUND(O32-P32,2))</f>
        <v/>
      </c>
      <c r="R32" s="5">
        <f>IF(Q32="","",IF(Q32&gt;=Referencia!$B$8,"C","NC"))</f>
        <v/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5">
        <f>IF(F32="","",(N32="NC")+(R32="NC")+(S32="Não")+(S32="Parcial")+(T32="Sim")+(U32="Sim")+(V32="Sim")+(W32="Sim")+(X32="Sim"))</f>
        <v/>
      </c>
      <c r="AB32" s="5">
        <f>IF(AA32="","",IF(AA32&gt;0,"Sim","Não"))</f>
        <v/>
      </c>
      <c r="AC32" s="3" t="n"/>
      <c r="AD32" s="3" t="n"/>
    </row>
    <row r="33">
      <c r="A33" s="3" t="n"/>
      <c r="B33" s="3" t="n"/>
      <c r="C33" s="4" t="n"/>
      <c r="D33" s="3" t="n"/>
      <c r="E33" s="3" t="n"/>
      <c r="F33" s="3" t="n"/>
      <c r="G33" s="3" t="n"/>
      <c r="H33" s="3" t="n"/>
      <c r="I33" s="3" t="n"/>
      <c r="J33" s="3" t="n"/>
      <c r="K33" s="3" t="n"/>
      <c r="L33" s="5">
        <f>IF(H33&lt;&gt;"",H33,IF(AND(I33&lt;&gt;"",J33&lt;&gt;""),ROUND(I33*TAN(RADIANS(J33))+IF(K33="",1.6,K33),2),""))</f>
        <v/>
      </c>
      <c r="M33" s="5">
        <f>IF(D33="","",IFERROR(IF(VLOOKUP(D33,Referencia!$A$2:$B$5,2,FALSE)="","",VLOOKUP(D33,Referencia!$A$2:$B$5,2,FALSE)),""))</f>
        <v/>
      </c>
      <c r="N33" s="5">
        <f>IF(OR(L33="",M33=""),"",IF(L33&gt;=M33,"C","NC"))</f>
        <v/>
      </c>
      <c r="O33" s="3" t="n"/>
      <c r="P33" s="3" t="n"/>
      <c r="Q33" s="5">
        <f>IF(OR(O33="",P33=""),"",ROUND(O33-P33,2))</f>
        <v/>
      </c>
      <c r="R33" s="5">
        <f>IF(Q33="","",IF(Q33&gt;=Referencia!$B$8,"C","NC"))</f>
        <v/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5">
        <f>IF(F33="","",(N33="NC")+(R33="NC")+(S33="Não")+(S33="Parcial")+(T33="Sim")+(U33="Sim")+(V33="Sim")+(W33="Sim")+(X33="Sim"))</f>
        <v/>
      </c>
      <c r="AB33" s="5">
        <f>IF(AA33="","",IF(AA33&gt;0,"Sim","Não"))</f>
        <v/>
      </c>
      <c r="AC33" s="3" t="n"/>
      <c r="AD33" s="3" t="n"/>
    </row>
    <row r="34">
      <c r="A34" s="3" t="n"/>
      <c r="B34" s="3" t="n"/>
      <c r="C34" s="4" t="n"/>
      <c r="D34" s="3" t="n"/>
      <c r="E34" s="3" t="n"/>
      <c r="F34" s="3" t="n"/>
      <c r="G34" s="3" t="n"/>
      <c r="H34" s="3" t="n"/>
      <c r="I34" s="3" t="n"/>
      <c r="J34" s="3" t="n"/>
      <c r="K34" s="3" t="n"/>
      <c r="L34" s="5">
        <f>IF(H34&lt;&gt;"",H34,IF(AND(I34&lt;&gt;"",J34&lt;&gt;""),ROUND(I34*TAN(RADIANS(J34))+IF(K34="",1.6,K34),2),""))</f>
        <v/>
      </c>
      <c r="M34" s="5">
        <f>IF(D34="","",IFERROR(IF(VLOOKUP(D34,Referencia!$A$2:$B$5,2,FALSE)="","",VLOOKUP(D34,Referencia!$A$2:$B$5,2,FALSE)),""))</f>
        <v/>
      </c>
      <c r="N34" s="5">
        <f>IF(OR(L34="",M34=""),"",IF(L34&gt;=M34,"C","NC"))</f>
        <v/>
      </c>
      <c r="O34" s="3" t="n"/>
      <c r="P34" s="3" t="n"/>
      <c r="Q34" s="5">
        <f>IF(OR(O34="",P34=""),"",ROUND(O34-P34,2))</f>
        <v/>
      </c>
      <c r="R34" s="5">
        <f>IF(Q34="","",IF(Q34&gt;=Referencia!$B$8,"C","NC"))</f>
        <v/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5">
        <f>IF(F34="","",(N34="NC")+(R34="NC")+(S34="Não")+(S34="Parcial")+(T34="Sim")+(U34="Sim")+(V34="Sim")+(W34="Sim")+(X34="Sim"))</f>
        <v/>
      </c>
      <c r="AB34" s="5">
        <f>IF(AA34="","",IF(AA34&gt;0,"Sim","Não"))</f>
        <v/>
      </c>
      <c r="AC34" s="3" t="n"/>
      <c r="AD34" s="3" t="n"/>
    </row>
    <row r="35">
      <c r="A35" s="3" t="n"/>
      <c r="B35" s="3" t="n"/>
      <c r="C35" s="4" t="n"/>
      <c r="D35" s="3" t="n"/>
      <c r="E35" s="3" t="n"/>
      <c r="F35" s="3" t="n"/>
      <c r="G35" s="3" t="n"/>
      <c r="H35" s="3" t="n"/>
      <c r="I35" s="3" t="n"/>
      <c r="J35" s="3" t="n"/>
      <c r="K35" s="3" t="n"/>
      <c r="L35" s="5">
        <f>IF(H35&lt;&gt;"",H35,IF(AND(I35&lt;&gt;"",J35&lt;&gt;""),ROUND(I35*TAN(RADIANS(J35))+IF(K35="",1.6,K35),2),""))</f>
        <v/>
      </c>
      <c r="M35" s="5">
        <f>IF(D35="","",IFERROR(IF(VLOOKUP(D35,Referencia!$A$2:$B$5,2,FALSE)="","",VLOOKUP(D35,Referencia!$A$2:$B$5,2,FALSE)),""))</f>
        <v/>
      </c>
      <c r="N35" s="5">
        <f>IF(OR(L35="",M35=""),"",IF(L35&gt;=M35,"C","NC"))</f>
        <v/>
      </c>
      <c r="O35" s="3" t="n"/>
      <c r="P35" s="3" t="n"/>
      <c r="Q35" s="5">
        <f>IF(OR(O35="",P35=""),"",ROUND(O35-P35,2))</f>
        <v/>
      </c>
      <c r="R35" s="5">
        <f>IF(Q35="","",IF(Q35&gt;=Referencia!$B$8,"C","NC"))</f>
        <v/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5">
        <f>IF(F35="","",(N35="NC")+(R35="NC")+(S35="Não")+(S35="Parcial")+(T35="Sim")+(U35="Sim")+(V35="Sim")+(W35="Sim")+(X35="Sim"))</f>
        <v/>
      </c>
      <c r="AB35" s="5">
        <f>IF(AA35="","",IF(AA35&gt;0,"Sim","Não"))</f>
        <v/>
      </c>
      <c r="AC35" s="3" t="n"/>
      <c r="AD35" s="3" t="n"/>
    </row>
    <row r="36">
      <c r="A36" s="3" t="n"/>
      <c r="B36" s="3" t="n"/>
      <c r="C36" s="4" t="n"/>
      <c r="D36" s="3" t="n"/>
      <c r="E36" s="3" t="n"/>
      <c r="F36" s="3" t="n"/>
      <c r="G36" s="3" t="n"/>
      <c r="H36" s="3" t="n"/>
      <c r="I36" s="3" t="n"/>
      <c r="J36" s="3" t="n"/>
      <c r="K36" s="3" t="n"/>
      <c r="L36" s="5">
        <f>IF(H36&lt;&gt;"",H36,IF(AND(I36&lt;&gt;"",J36&lt;&gt;""),ROUND(I36*TAN(RADIANS(J36))+IF(K36="",1.6,K36),2),""))</f>
        <v/>
      </c>
      <c r="M36" s="5">
        <f>IF(D36="","",IFERROR(IF(VLOOKUP(D36,Referencia!$A$2:$B$5,2,FALSE)="","",VLOOKUP(D36,Referencia!$A$2:$B$5,2,FALSE)),""))</f>
        <v/>
      </c>
      <c r="N36" s="5">
        <f>IF(OR(L36="",M36=""),"",IF(L36&gt;=M36,"C","NC"))</f>
        <v/>
      </c>
      <c r="O36" s="3" t="n"/>
      <c r="P36" s="3" t="n"/>
      <c r="Q36" s="5">
        <f>IF(OR(O36="",P36=""),"",ROUND(O36-P36,2))</f>
        <v/>
      </c>
      <c r="R36" s="5">
        <f>IF(Q36="","",IF(Q36&gt;=Referencia!$B$8,"C","NC"))</f>
        <v/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5">
        <f>IF(F36="","",(N36="NC")+(R36="NC")+(S36="Não")+(S36="Parcial")+(T36="Sim")+(U36="Sim")+(V36="Sim")+(W36="Sim")+(X36="Sim"))</f>
        <v/>
      </c>
      <c r="AB36" s="5">
        <f>IF(AA36="","",IF(AA36&gt;0,"Sim","Não"))</f>
        <v/>
      </c>
      <c r="AC36" s="3" t="n"/>
      <c r="AD36" s="3" t="n"/>
    </row>
    <row r="37">
      <c r="A37" s="3" t="n"/>
      <c r="B37" s="3" t="n"/>
      <c r="C37" s="4" t="n"/>
      <c r="D37" s="3" t="n"/>
      <c r="E37" s="3" t="n"/>
      <c r="F37" s="3" t="n"/>
      <c r="G37" s="3" t="n"/>
      <c r="H37" s="3" t="n"/>
      <c r="I37" s="3" t="n"/>
      <c r="J37" s="3" t="n"/>
      <c r="K37" s="3" t="n"/>
      <c r="L37" s="5">
        <f>IF(H37&lt;&gt;"",H37,IF(AND(I37&lt;&gt;"",J37&lt;&gt;""),ROUND(I37*TAN(RADIANS(J37))+IF(K37="",1.6,K37),2),""))</f>
        <v/>
      </c>
      <c r="M37" s="5">
        <f>IF(D37="","",IFERROR(IF(VLOOKUP(D37,Referencia!$A$2:$B$5,2,FALSE)="","",VLOOKUP(D37,Referencia!$A$2:$B$5,2,FALSE)),""))</f>
        <v/>
      </c>
      <c r="N37" s="5">
        <f>IF(OR(L37="",M37=""),"",IF(L37&gt;=M37,"C","NC"))</f>
        <v/>
      </c>
      <c r="O37" s="3" t="n"/>
      <c r="P37" s="3" t="n"/>
      <c r="Q37" s="5">
        <f>IF(OR(O37="",P37=""),"",ROUND(O37-P37,2))</f>
        <v/>
      </c>
      <c r="R37" s="5">
        <f>IF(Q37="","",IF(Q37&gt;=Referencia!$B$8,"C","NC"))</f>
        <v/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5">
        <f>IF(F37="","",(N37="NC")+(R37="NC")+(S37="Não")+(S37="Parcial")+(T37="Sim")+(U37="Sim")+(V37="Sim")+(W37="Sim")+(X37="Sim"))</f>
        <v/>
      </c>
      <c r="AB37" s="5">
        <f>IF(AA37="","",IF(AA37&gt;0,"Sim","Não"))</f>
        <v/>
      </c>
      <c r="AC37" s="3" t="n"/>
      <c r="AD37" s="3" t="n"/>
    </row>
    <row r="38">
      <c r="A38" s="3" t="n"/>
      <c r="B38" s="3" t="n"/>
      <c r="C38" s="4" t="n"/>
      <c r="D38" s="3" t="n"/>
      <c r="E38" s="3" t="n"/>
      <c r="F38" s="3" t="n"/>
      <c r="G38" s="3" t="n"/>
      <c r="H38" s="3" t="n"/>
      <c r="I38" s="3" t="n"/>
      <c r="J38" s="3" t="n"/>
      <c r="K38" s="3" t="n"/>
      <c r="L38" s="5">
        <f>IF(H38&lt;&gt;"",H38,IF(AND(I38&lt;&gt;"",J38&lt;&gt;""),ROUND(I38*TAN(RADIANS(J38))+IF(K38="",1.6,K38),2),""))</f>
        <v/>
      </c>
      <c r="M38" s="5">
        <f>IF(D38="","",IFERROR(IF(VLOOKUP(D38,Referencia!$A$2:$B$5,2,FALSE)="","",VLOOKUP(D38,Referencia!$A$2:$B$5,2,FALSE)),""))</f>
        <v/>
      </c>
      <c r="N38" s="5">
        <f>IF(OR(L38="",M38=""),"",IF(L38&gt;=M38,"C","NC"))</f>
        <v/>
      </c>
      <c r="O38" s="3" t="n"/>
      <c r="P38" s="3" t="n"/>
      <c r="Q38" s="5">
        <f>IF(OR(O38="",P38=""),"",ROUND(O38-P38,2))</f>
        <v/>
      </c>
      <c r="R38" s="5">
        <f>IF(Q38="","",IF(Q38&gt;=Referencia!$B$8,"C","NC"))</f>
        <v/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5">
        <f>IF(F38="","",(N38="NC")+(R38="NC")+(S38="Não")+(S38="Parcial")+(T38="Sim")+(U38="Sim")+(V38="Sim")+(W38="Sim")+(X38="Sim"))</f>
        <v/>
      </c>
      <c r="AB38" s="5">
        <f>IF(AA38="","",IF(AA38&gt;0,"Sim","Não"))</f>
        <v/>
      </c>
      <c r="AC38" s="3" t="n"/>
      <c r="AD38" s="3" t="n"/>
    </row>
    <row r="39">
      <c r="A39" s="3" t="n"/>
      <c r="B39" s="3" t="n"/>
      <c r="C39" s="4" t="n"/>
      <c r="D39" s="3" t="n"/>
      <c r="E39" s="3" t="n"/>
      <c r="F39" s="3" t="n"/>
      <c r="G39" s="3" t="n"/>
      <c r="H39" s="3" t="n"/>
      <c r="I39" s="3" t="n"/>
      <c r="J39" s="3" t="n"/>
      <c r="K39" s="3" t="n"/>
      <c r="L39" s="5">
        <f>IF(H39&lt;&gt;"",H39,IF(AND(I39&lt;&gt;"",J39&lt;&gt;""),ROUND(I39*TAN(RADIANS(J39))+IF(K39="",1.6,K39),2),""))</f>
        <v/>
      </c>
      <c r="M39" s="5">
        <f>IF(D39="","",IFERROR(IF(VLOOKUP(D39,Referencia!$A$2:$B$5,2,FALSE)="","",VLOOKUP(D39,Referencia!$A$2:$B$5,2,FALSE)),""))</f>
        <v/>
      </c>
      <c r="N39" s="5">
        <f>IF(OR(L39="",M39=""),"",IF(L39&gt;=M39,"C","NC"))</f>
        <v/>
      </c>
      <c r="O39" s="3" t="n"/>
      <c r="P39" s="3" t="n"/>
      <c r="Q39" s="5">
        <f>IF(OR(O39="",P39=""),"",ROUND(O39-P39,2))</f>
        <v/>
      </c>
      <c r="R39" s="5">
        <f>IF(Q39="","",IF(Q39&gt;=Referencia!$B$8,"C","NC"))</f>
        <v/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5">
        <f>IF(F39="","",(N39="NC")+(R39="NC")+(S39="Não")+(S39="Parcial")+(T39="Sim")+(U39="Sim")+(V39="Sim")+(W39="Sim")+(X39="Sim"))</f>
        <v/>
      </c>
      <c r="AB39" s="5">
        <f>IF(AA39="","",IF(AA39&gt;0,"Sim","Não"))</f>
        <v/>
      </c>
      <c r="AC39" s="3" t="n"/>
      <c r="AD39" s="3" t="n"/>
    </row>
    <row r="40">
      <c r="A40" s="3" t="n"/>
      <c r="B40" s="3" t="n"/>
      <c r="C40" s="4" t="n"/>
      <c r="D40" s="3" t="n"/>
      <c r="E40" s="3" t="n"/>
      <c r="F40" s="3" t="n"/>
      <c r="G40" s="3" t="n"/>
      <c r="H40" s="3" t="n"/>
      <c r="I40" s="3" t="n"/>
      <c r="J40" s="3" t="n"/>
      <c r="K40" s="3" t="n"/>
      <c r="L40" s="5">
        <f>IF(H40&lt;&gt;"",H40,IF(AND(I40&lt;&gt;"",J40&lt;&gt;""),ROUND(I40*TAN(RADIANS(J40))+IF(K40="",1.6,K40),2),""))</f>
        <v/>
      </c>
      <c r="M40" s="5">
        <f>IF(D40="","",IFERROR(IF(VLOOKUP(D40,Referencia!$A$2:$B$5,2,FALSE)="","",VLOOKUP(D40,Referencia!$A$2:$B$5,2,FALSE)),""))</f>
        <v/>
      </c>
      <c r="N40" s="5">
        <f>IF(OR(L40="",M40=""),"",IF(L40&gt;=M40,"C","NC"))</f>
        <v/>
      </c>
      <c r="O40" s="3" t="n"/>
      <c r="P40" s="3" t="n"/>
      <c r="Q40" s="5">
        <f>IF(OR(O40="",P40=""),"",ROUND(O40-P40,2))</f>
        <v/>
      </c>
      <c r="R40" s="5">
        <f>IF(Q40="","",IF(Q40&gt;=Referencia!$B$8,"C","NC"))</f>
        <v/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5">
        <f>IF(F40="","",(N40="NC")+(R40="NC")+(S40="Não")+(S40="Parcial")+(T40="Sim")+(U40="Sim")+(V40="Sim")+(W40="Sim")+(X40="Sim"))</f>
        <v/>
      </c>
      <c r="AB40" s="5">
        <f>IF(AA40="","",IF(AA40&gt;0,"Sim","Não"))</f>
        <v/>
      </c>
      <c r="AC40" s="3" t="n"/>
      <c r="AD40" s="3" t="n"/>
    </row>
    <row r="41">
      <c r="A41" s="3" t="n"/>
      <c r="B41" s="3" t="n"/>
      <c r="C41" s="4" t="n"/>
      <c r="D41" s="3" t="n"/>
      <c r="E41" s="3" t="n"/>
      <c r="F41" s="3" t="n"/>
      <c r="G41" s="3" t="n"/>
      <c r="H41" s="3" t="n"/>
      <c r="I41" s="3" t="n"/>
      <c r="J41" s="3" t="n"/>
      <c r="K41" s="3" t="n"/>
      <c r="L41" s="5">
        <f>IF(H41&lt;&gt;"",H41,IF(AND(I41&lt;&gt;"",J41&lt;&gt;""),ROUND(I41*TAN(RADIANS(J41))+IF(K41="",1.6,K41),2),""))</f>
        <v/>
      </c>
      <c r="M41" s="5">
        <f>IF(D41="","",IFERROR(IF(VLOOKUP(D41,Referencia!$A$2:$B$5,2,FALSE)="","",VLOOKUP(D41,Referencia!$A$2:$B$5,2,FALSE)),""))</f>
        <v/>
      </c>
      <c r="N41" s="5">
        <f>IF(OR(L41="",M41=""),"",IF(L41&gt;=M41,"C","NC"))</f>
        <v/>
      </c>
      <c r="O41" s="3" t="n"/>
      <c r="P41" s="3" t="n"/>
      <c r="Q41" s="5">
        <f>IF(OR(O41="",P41=""),"",ROUND(O41-P41,2))</f>
        <v/>
      </c>
      <c r="R41" s="5">
        <f>IF(Q41="","",IF(Q41&gt;=Referencia!$B$8,"C","NC"))</f>
        <v/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5">
        <f>IF(F41="","",(N41="NC")+(R41="NC")+(S41="Não")+(S41="Parcial")+(T41="Sim")+(U41="Sim")+(V41="Sim")+(W41="Sim")+(X41="Sim"))</f>
        <v/>
      </c>
      <c r="AB41" s="5">
        <f>IF(AA41="","",IF(AA41&gt;0,"Sim","Não"))</f>
        <v/>
      </c>
      <c r="AC41" s="3" t="n"/>
      <c r="AD41" s="3" t="n"/>
    </row>
    <row r="42">
      <c r="A42" s="3" t="n"/>
      <c r="B42" s="3" t="n"/>
      <c r="C42" s="4" t="n"/>
      <c r="D42" s="3" t="n"/>
      <c r="E42" s="3" t="n"/>
      <c r="F42" s="3" t="n"/>
      <c r="G42" s="3" t="n"/>
      <c r="H42" s="3" t="n"/>
      <c r="I42" s="3" t="n"/>
      <c r="J42" s="3" t="n"/>
      <c r="K42" s="3" t="n"/>
      <c r="L42" s="5">
        <f>IF(H42&lt;&gt;"",H42,IF(AND(I42&lt;&gt;"",J42&lt;&gt;""),ROUND(I42*TAN(RADIANS(J42))+IF(K42="",1.6,K42),2),""))</f>
        <v/>
      </c>
      <c r="M42" s="5">
        <f>IF(D42="","",IFERROR(IF(VLOOKUP(D42,Referencia!$A$2:$B$5,2,FALSE)="","",VLOOKUP(D42,Referencia!$A$2:$B$5,2,FALSE)),""))</f>
        <v/>
      </c>
      <c r="N42" s="5">
        <f>IF(OR(L42="",M42=""),"",IF(L42&gt;=M42,"C","NC"))</f>
        <v/>
      </c>
      <c r="O42" s="3" t="n"/>
      <c r="P42" s="3" t="n"/>
      <c r="Q42" s="5">
        <f>IF(OR(O42="",P42=""),"",ROUND(O42-P42,2))</f>
        <v/>
      </c>
      <c r="R42" s="5">
        <f>IF(Q42="","",IF(Q42&gt;=Referencia!$B$8,"C","NC"))</f>
        <v/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5">
        <f>IF(F42="","",(N42="NC")+(R42="NC")+(S42="Não")+(S42="Parcial")+(T42="Sim")+(U42="Sim")+(V42="Sim")+(W42="Sim")+(X42="Sim"))</f>
        <v/>
      </c>
      <c r="AB42" s="5">
        <f>IF(AA42="","",IF(AA42&gt;0,"Sim","Não"))</f>
        <v/>
      </c>
      <c r="AC42" s="3" t="n"/>
      <c r="AD42" s="3" t="n"/>
    </row>
    <row r="43">
      <c r="A43" s="3" t="n"/>
      <c r="B43" s="3" t="n"/>
      <c r="C43" s="4" t="n"/>
      <c r="D43" s="3" t="n"/>
      <c r="E43" s="3" t="n"/>
      <c r="F43" s="3" t="n"/>
      <c r="G43" s="3" t="n"/>
      <c r="H43" s="3" t="n"/>
      <c r="I43" s="3" t="n"/>
      <c r="J43" s="3" t="n"/>
      <c r="K43" s="3" t="n"/>
      <c r="L43" s="5">
        <f>IF(H43&lt;&gt;"",H43,IF(AND(I43&lt;&gt;"",J43&lt;&gt;""),ROUND(I43*TAN(RADIANS(J43))+IF(K43="",1.6,K43),2),""))</f>
        <v/>
      </c>
      <c r="M43" s="5">
        <f>IF(D43="","",IFERROR(IF(VLOOKUP(D43,Referencia!$A$2:$B$5,2,FALSE)="","",VLOOKUP(D43,Referencia!$A$2:$B$5,2,FALSE)),""))</f>
        <v/>
      </c>
      <c r="N43" s="5">
        <f>IF(OR(L43="",M43=""),"",IF(L43&gt;=M43,"C","NC"))</f>
        <v/>
      </c>
      <c r="O43" s="3" t="n"/>
      <c r="P43" s="3" t="n"/>
      <c r="Q43" s="5">
        <f>IF(OR(O43="",P43=""),"",ROUND(O43-P43,2))</f>
        <v/>
      </c>
      <c r="R43" s="5">
        <f>IF(Q43="","",IF(Q43&gt;=Referencia!$B$8,"C","NC"))</f>
        <v/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5">
        <f>IF(F43="","",(N43="NC")+(R43="NC")+(S43="Não")+(S43="Parcial")+(T43="Sim")+(U43="Sim")+(V43="Sim")+(W43="Sim")+(X43="Sim"))</f>
        <v/>
      </c>
      <c r="AB43" s="5">
        <f>IF(AA43="","",IF(AA43&gt;0,"Sim","Não"))</f>
        <v/>
      </c>
      <c r="AC43" s="3" t="n"/>
      <c r="AD43" s="3" t="n"/>
    </row>
    <row r="44">
      <c r="A44" s="3" t="n"/>
      <c r="B44" s="3" t="n"/>
      <c r="C44" s="4" t="n"/>
      <c r="D44" s="3" t="n"/>
      <c r="E44" s="3" t="n"/>
      <c r="F44" s="3" t="n"/>
      <c r="G44" s="3" t="n"/>
      <c r="H44" s="3" t="n"/>
      <c r="I44" s="3" t="n"/>
      <c r="J44" s="3" t="n"/>
      <c r="K44" s="3" t="n"/>
      <c r="L44" s="5">
        <f>IF(H44&lt;&gt;"",H44,IF(AND(I44&lt;&gt;"",J44&lt;&gt;""),ROUND(I44*TAN(RADIANS(J44))+IF(K44="",1.6,K44),2),""))</f>
        <v/>
      </c>
      <c r="M44" s="5">
        <f>IF(D44="","",IFERROR(IF(VLOOKUP(D44,Referencia!$A$2:$B$5,2,FALSE)="","",VLOOKUP(D44,Referencia!$A$2:$B$5,2,FALSE)),""))</f>
        <v/>
      </c>
      <c r="N44" s="5">
        <f>IF(OR(L44="",M44=""),"",IF(L44&gt;=M44,"C","NC"))</f>
        <v/>
      </c>
      <c r="O44" s="3" t="n"/>
      <c r="P44" s="3" t="n"/>
      <c r="Q44" s="5">
        <f>IF(OR(O44="",P44=""),"",ROUND(O44-P44,2))</f>
        <v/>
      </c>
      <c r="R44" s="5">
        <f>IF(Q44="","",IF(Q44&gt;=Referencia!$B$8,"C","NC"))</f>
        <v/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5">
        <f>IF(F44="","",(N44="NC")+(R44="NC")+(S44="Não")+(S44="Parcial")+(T44="Sim")+(U44="Sim")+(V44="Sim")+(W44="Sim")+(X44="Sim"))</f>
        <v/>
      </c>
      <c r="AB44" s="5">
        <f>IF(AA44="","",IF(AA44&gt;0,"Sim","Não"))</f>
        <v/>
      </c>
      <c r="AC44" s="3" t="n"/>
      <c r="AD44" s="3" t="n"/>
    </row>
    <row r="45">
      <c r="A45" s="3" t="n"/>
      <c r="B45" s="3" t="n"/>
      <c r="C45" s="4" t="n"/>
      <c r="D45" s="3" t="n"/>
      <c r="E45" s="3" t="n"/>
      <c r="F45" s="3" t="n"/>
      <c r="G45" s="3" t="n"/>
      <c r="H45" s="3" t="n"/>
      <c r="I45" s="3" t="n"/>
      <c r="J45" s="3" t="n"/>
      <c r="K45" s="3" t="n"/>
      <c r="L45" s="5">
        <f>IF(H45&lt;&gt;"",H45,IF(AND(I45&lt;&gt;"",J45&lt;&gt;""),ROUND(I45*TAN(RADIANS(J45))+IF(K45="",1.6,K45),2),""))</f>
        <v/>
      </c>
      <c r="M45" s="5">
        <f>IF(D45="","",IFERROR(IF(VLOOKUP(D45,Referencia!$A$2:$B$5,2,FALSE)="","",VLOOKUP(D45,Referencia!$A$2:$B$5,2,FALSE)),""))</f>
        <v/>
      </c>
      <c r="N45" s="5">
        <f>IF(OR(L45="",M45=""),"",IF(L45&gt;=M45,"C","NC"))</f>
        <v/>
      </c>
      <c r="O45" s="3" t="n"/>
      <c r="P45" s="3" t="n"/>
      <c r="Q45" s="5">
        <f>IF(OR(O45="",P45=""),"",ROUND(O45-P45,2))</f>
        <v/>
      </c>
      <c r="R45" s="5">
        <f>IF(Q45="","",IF(Q45&gt;=Referencia!$B$8,"C","NC"))</f>
        <v/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5">
        <f>IF(F45="","",(N45="NC")+(R45="NC")+(S45="Não")+(S45="Parcial")+(T45="Sim")+(U45="Sim")+(V45="Sim")+(W45="Sim")+(X45="Sim"))</f>
        <v/>
      </c>
      <c r="AB45" s="5">
        <f>IF(AA45="","",IF(AA45&gt;0,"Sim","Não"))</f>
        <v/>
      </c>
      <c r="AC45" s="3" t="n"/>
      <c r="AD45" s="3" t="n"/>
    </row>
    <row r="46">
      <c r="A46" s="3" t="n"/>
      <c r="B46" s="3" t="n"/>
      <c r="C46" s="4" t="n"/>
      <c r="D46" s="3" t="n"/>
      <c r="E46" s="3" t="n"/>
      <c r="F46" s="3" t="n"/>
      <c r="G46" s="3" t="n"/>
      <c r="H46" s="3" t="n"/>
      <c r="I46" s="3" t="n"/>
      <c r="J46" s="3" t="n"/>
      <c r="K46" s="3" t="n"/>
      <c r="L46" s="5">
        <f>IF(H46&lt;&gt;"",H46,IF(AND(I46&lt;&gt;"",J46&lt;&gt;""),ROUND(I46*TAN(RADIANS(J46))+IF(K46="",1.6,K46),2),""))</f>
        <v/>
      </c>
      <c r="M46" s="5">
        <f>IF(D46="","",IFERROR(IF(VLOOKUP(D46,Referencia!$A$2:$B$5,2,FALSE)="","",VLOOKUP(D46,Referencia!$A$2:$B$5,2,FALSE)),""))</f>
        <v/>
      </c>
      <c r="N46" s="5">
        <f>IF(OR(L46="",M46=""),"",IF(L46&gt;=M46,"C","NC"))</f>
        <v/>
      </c>
      <c r="O46" s="3" t="n"/>
      <c r="P46" s="3" t="n"/>
      <c r="Q46" s="5">
        <f>IF(OR(O46="",P46=""),"",ROUND(O46-P46,2))</f>
        <v/>
      </c>
      <c r="R46" s="5">
        <f>IF(Q46="","",IF(Q46&gt;=Referencia!$B$8,"C","NC"))</f>
        <v/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5">
        <f>IF(F46="","",(N46="NC")+(R46="NC")+(S46="Não")+(S46="Parcial")+(T46="Sim")+(U46="Sim")+(V46="Sim")+(W46="Sim")+(X46="Sim"))</f>
        <v/>
      </c>
      <c r="AB46" s="5">
        <f>IF(AA46="","",IF(AA46&gt;0,"Sim","Não"))</f>
        <v/>
      </c>
      <c r="AC46" s="3" t="n"/>
      <c r="AD46" s="3" t="n"/>
    </row>
    <row r="47">
      <c r="A47" s="3" t="n"/>
      <c r="B47" s="3" t="n"/>
      <c r="C47" s="4" t="n"/>
      <c r="D47" s="3" t="n"/>
      <c r="E47" s="3" t="n"/>
      <c r="F47" s="3" t="n"/>
      <c r="G47" s="3" t="n"/>
      <c r="H47" s="3" t="n"/>
      <c r="I47" s="3" t="n"/>
      <c r="J47" s="3" t="n"/>
      <c r="K47" s="3" t="n"/>
      <c r="L47" s="5">
        <f>IF(H47&lt;&gt;"",H47,IF(AND(I47&lt;&gt;"",J47&lt;&gt;""),ROUND(I47*TAN(RADIANS(J47))+IF(K47="",1.6,K47),2),""))</f>
        <v/>
      </c>
      <c r="M47" s="5">
        <f>IF(D47="","",IFERROR(IF(VLOOKUP(D47,Referencia!$A$2:$B$5,2,FALSE)="","",VLOOKUP(D47,Referencia!$A$2:$B$5,2,FALSE)),""))</f>
        <v/>
      </c>
      <c r="N47" s="5">
        <f>IF(OR(L47="",M47=""),"",IF(L47&gt;=M47,"C","NC"))</f>
        <v/>
      </c>
      <c r="O47" s="3" t="n"/>
      <c r="P47" s="3" t="n"/>
      <c r="Q47" s="5">
        <f>IF(OR(O47="",P47=""),"",ROUND(O47-P47,2))</f>
        <v/>
      </c>
      <c r="R47" s="5">
        <f>IF(Q47="","",IF(Q47&gt;=Referencia!$B$8,"C","NC"))</f>
        <v/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5">
        <f>IF(F47="","",(N47="NC")+(R47="NC")+(S47="Não")+(S47="Parcial")+(T47="Sim")+(U47="Sim")+(V47="Sim")+(W47="Sim")+(X47="Sim"))</f>
        <v/>
      </c>
      <c r="AB47" s="5">
        <f>IF(AA47="","",IF(AA47&gt;0,"Sim","Não"))</f>
        <v/>
      </c>
      <c r="AC47" s="3" t="n"/>
      <c r="AD47" s="3" t="n"/>
    </row>
    <row r="48">
      <c r="A48" s="3" t="n"/>
      <c r="B48" s="3" t="n"/>
      <c r="C48" s="4" t="n"/>
      <c r="D48" s="3" t="n"/>
      <c r="E48" s="3" t="n"/>
      <c r="F48" s="3" t="n"/>
      <c r="G48" s="3" t="n"/>
      <c r="H48" s="3" t="n"/>
      <c r="I48" s="3" t="n"/>
      <c r="J48" s="3" t="n"/>
      <c r="K48" s="3" t="n"/>
      <c r="L48" s="5">
        <f>IF(H48&lt;&gt;"",H48,IF(AND(I48&lt;&gt;"",J48&lt;&gt;""),ROUND(I48*TAN(RADIANS(J48))+IF(K48="",1.6,K48),2),""))</f>
        <v/>
      </c>
      <c r="M48" s="5">
        <f>IF(D48="","",IFERROR(IF(VLOOKUP(D48,Referencia!$A$2:$B$5,2,FALSE)="","",VLOOKUP(D48,Referencia!$A$2:$B$5,2,FALSE)),""))</f>
        <v/>
      </c>
      <c r="N48" s="5">
        <f>IF(OR(L48="",M48=""),"",IF(L48&gt;=M48,"C","NC"))</f>
        <v/>
      </c>
      <c r="O48" s="3" t="n"/>
      <c r="P48" s="3" t="n"/>
      <c r="Q48" s="5">
        <f>IF(OR(O48="",P48=""),"",ROUND(O48-P48,2))</f>
        <v/>
      </c>
      <c r="R48" s="5">
        <f>IF(Q48="","",IF(Q48&gt;=Referencia!$B$8,"C","NC"))</f>
        <v/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5">
        <f>IF(F48="","",(N48="NC")+(R48="NC")+(S48="Não")+(S48="Parcial")+(T48="Sim")+(U48="Sim")+(V48="Sim")+(W48="Sim")+(X48="Sim"))</f>
        <v/>
      </c>
      <c r="AB48" s="5">
        <f>IF(AA48="","",IF(AA48&gt;0,"Sim","Não"))</f>
        <v/>
      </c>
      <c r="AC48" s="3" t="n"/>
      <c r="AD48" s="3" t="n"/>
    </row>
    <row r="49">
      <c r="A49" s="3" t="n"/>
      <c r="B49" s="3" t="n"/>
      <c r="C49" s="4" t="n"/>
      <c r="D49" s="3" t="n"/>
      <c r="E49" s="3" t="n"/>
      <c r="F49" s="3" t="n"/>
      <c r="G49" s="3" t="n"/>
      <c r="H49" s="3" t="n"/>
      <c r="I49" s="3" t="n"/>
      <c r="J49" s="3" t="n"/>
      <c r="K49" s="3" t="n"/>
      <c r="L49" s="5">
        <f>IF(H49&lt;&gt;"",H49,IF(AND(I49&lt;&gt;"",J49&lt;&gt;""),ROUND(I49*TAN(RADIANS(J49))+IF(K49="",1.6,K49),2),""))</f>
        <v/>
      </c>
      <c r="M49" s="5">
        <f>IF(D49="","",IFERROR(IF(VLOOKUP(D49,Referencia!$A$2:$B$5,2,FALSE)="","",VLOOKUP(D49,Referencia!$A$2:$B$5,2,FALSE)),""))</f>
        <v/>
      </c>
      <c r="N49" s="5">
        <f>IF(OR(L49="",M49=""),"",IF(L49&gt;=M49,"C","NC"))</f>
        <v/>
      </c>
      <c r="O49" s="3" t="n"/>
      <c r="P49" s="3" t="n"/>
      <c r="Q49" s="5">
        <f>IF(OR(O49="",P49=""),"",ROUND(O49-P49,2))</f>
        <v/>
      </c>
      <c r="R49" s="5">
        <f>IF(Q49="","",IF(Q49&gt;=Referencia!$B$8,"C","NC"))</f>
        <v/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5">
        <f>IF(F49="","",(N49="NC")+(R49="NC")+(S49="Não")+(S49="Parcial")+(T49="Sim")+(U49="Sim")+(V49="Sim")+(W49="Sim")+(X49="Sim"))</f>
        <v/>
      </c>
      <c r="AB49" s="5">
        <f>IF(AA49="","",IF(AA49&gt;0,"Sim","Não"))</f>
        <v/>
      </c>
      <c r="AC49" s="3" t="n"/>
      <c r="AD49" s="3" t="n"/>
    </row>
    <row r="50">
      <c r="A50" s="3" t="n"/>
      <c r="B50" s="3" t="n"/>
      <c r="C50" s="4" t="n"/>
      <c r="D50" s="3" t="n"/>
      <c r="E50" s="3" t="n"/>
      <c r="F50" s="3" t="n"/>
      <c r="G50" s="3" t="n"/>
      <c r="H50" s="3" t="n"/>
      <c r="I50" s="3" t="n"/>
      <c r="J50" s="3" t="n"/>
      <c r="K50" s="3" t="n"/>
      <c r="L50" s="5">
        <f>IF(H50&lt;&gt;"",H50,IF(AND(I50&lt;&gt;"",J50&lt;&gt;""),ROUND(I50*TAN(RADIANS(J50))+IF(K50="",1.6,K50),2),""))</f>
        <v/>
      </c>
      <c r="M50" s="5">
        <f>IF(D50="","",IFERROR(IF(VLOOKUP(D50,Referencia!$A$2:$B$5,2,FALSE)="","",VLOOKUP(D50,Referencia!$A$2:$B$5,2,FALSE)),""))</f>
        <v/>
      </c>
      <c r="N50" s="5">
        <f>IF(OR(L50="",M50=""),"",IF(L50&gt;=M50,"C","NC"))</f>
        <v/>
      </c>
      <c r="O50" s="3" t="n"/>
      <c r="P50" s="3" t="n"/>
      <c r="Q50" s="5">
        <f>IF(OR(O50="",P50=""),"",ROUND(O50-P50,2))</f>
        <v/>
      </c>
      <c r="R50" s="5">
        <f>IF(Q50="","",IF(Q50&gt;=Referencia!$B$8,"C","NC"))</f>
        <v/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5">
        <f>IF(F50="","",(N50="NC")+(R50="NC")+(S50="Não")+(S50="Parcial")+(T50="Sim")+(U50="Sim")+(V50="Sim")+(W50="Sim")+(X50="Sim"))</f>
        <v/>
      </c>
      <c r="AB50" s="5">
        <f>IF(AA50="","",IF(AA50&gt;0,"Sim","Não"))</f>
        <v/>
      </c>
      <c r="AC50" s="3" t="n"/>
      <c r="AD50" s="3" t="n"/>
    </row>
    <row r="51">
      <c r="A51" s="3" t="n"/>
      <c r="B51" s="3" t="n"/>
      <c r="C51" s="4" t="n"/>
      <c r="D51" s="3" t="n"/>
      <c r="E51" s="3" t="n"/>
      <c r="F51" s="3" t="n"/>
      <c r="G51" s="3" t="n"/>
      <c r="H51" s="3" t="n"/>
      <c r="I51" s="3" t="n"/>
      <c r="J51" s="3" t="n"/>
      <c r="K51" s="3" t="n"/>
      <c r="L51" s="5">
        <f>IF(H51&lt;&gt;"",H51,IF(AND(I51&lt;&gt;"",J51&lt;&gt;""),ROUND(I51*TAN(RADIANS(J51))+IF(K51="",1.6,K51),2),""))</f>
        <v/>
      </c>
      <c r="M51" s="5">
        <f>IF(D51="","",IFERROR(IF(VLOOKUP(D51,Referencia!$A$2:$B$5,2,FALSE)="","",VLOOKUP(D51,Referencia!$A$2:$B$5,2,FALSE)),""))</f>
        <v/>
      </c>
      <c r="N51" s="5">
        <f>IF(OR(L51="",M51=""),"",IF(L51&gt;=M51,"C","NC"))</f>
        <v/>
      </c>
      <c r="O51" s="3" t="n"/>
      <c r="P51" s="3" t="n"/>
      <c r="Q51" s="5">
        <f>IF(OR(O51="",P51=""),"",ROUND(O51-P51,2))</f>
        <v/>
      </c>
      <c r="R51" s="5">
        <f>IF(Q51="","",IF(Q51&gt;=Referencia!$B$8,"C","NC"))</f>
        <v/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5">
        <f>IF(F51="","",(N51="NC")+(R51="NC")+(S51="Não")+(S51="Parcial")+(T51="Sim")+(U51="Sim")+(V51="Sim")+(W51="Sim")+(X51="Sim"))</f>
        <v/>
      </c>
      <c r="AB51" s="5">
        <f>IF(AA51="","",IF(AA51&gt;0,"Sim","Não"))</f>
        <v/>
      </c>
      <c r="AC51" s="3" t="n"/>
      <c r="AD51" s="3" t="n"/>
    </row>
    <row r="52">
      <c r="A52" s="3" t="n"/>
      <c r="B52" s="3" t="n"/>
      <c r="C52" s="4" t="n"/>
      <c r="D52" s="3" t="n"/>
      <c r="E52" s="3" t="n"/>
      <c r="F52" s="3" t="n"/>
      <c r="G52" s="3" t="n"/>
      <c r="H52" s="3" t="n"/>
      <c r="I52" s="3" t="n"/>
      <c r="J52" s="3" t="n"/>
      <c r="K52" s="3" t="n"/>
      <c r="L52" s="5">
        <f>IF(H52&lt;&gt;"",H52,IF(AND(I52&lt;&gt;"",J52&lt;&gt;""),ROUND(I52*TAN(RADIANS(J52))+IF(K52="",1.6,K52),2),""))</f>
        <v/>
      </c>
      <c r="M52" s="5">
        <f>IF(D52="","",IFERROR(IF(VLOOKUP(D52,Referencia!$A$2:$B$5,2,FALSE)="","",VLOOKUP(D52,Referencia!$A$2:$B$5,2,FALSE)),""))</f>
        <v/>
      </c>
      <c r="N52" s="5">
        <f>IF(OR(L52="",M52=""),"",IF(L52&gt;=M52,"C","NC"))</f>
        <v/>
      </c>
      <c r="O52" s="3" t="n"/>
      <c r="P52" s="3" t="n"/>
      <c r="Q52" s="5">
        <f>IF(OR(O52="",P52=""),"",ROUND(O52-P52,2))</f>
        <v/>
      </c>
      <c r="R52" s="5">
        <f>IF(Q52="","",IF(Q52&gt;=Referencia!$B$8,"C","NC"))</f>
        <v/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5">
        <f>IF(F52="","",(N52="NC")+(R52="NC")+(S52="Não")+(S52="Parcial")+(T52="Sim")+(U52="Sim")+(V52="Sim")+(W52="Sim")+(X52="Sim"))</f>
        <v/>
      </c>
      <c r="AB52" s="5">
        <f>IF(AA52="","",IF(AA52&gt;0,"Sim","Não"))</f>
        <v/>
      </c>
      <c r="AC52" s="3" t="n"/>
      <c r="AD52" s="3" t="n"/>
    </row>
    <row r="53">
      <c r="A53" s="3" t="n"/>
      <c r="B53" s="3" t="n"/>
      <c r="C53" s="4" t="n"/>
      <c r="D53" s="3" t="n"/>
      <c r="E53" s="3" t="n"/>
      <c r="F53" s="3" t="n"/>
      <c r="G53" s="3" t="n"/>
      <c r="H53" s="3" t="n"/>
      <c r="I53" s="3" t="n"/>
      <c r="J53" s="3" t="n"/>
      <c r="K53" s="3" t="n"/>
      <c r="L53" s="5">
        <f>IF(H53&lt;&gt;"",H53,IF(AND(I53&lt;&gt;"",J53&lt;&gt;""),ROUND(I53*TAN(RADIANS(J53))+IF(K53="",1.6,K53),2),""))</f>
        <v/>
      </c>
      <c r="M53" s="5">
        <f>IF(D53="","",IFERROR(IF(VLOOKUP(D53,Referencia!$A$2:$B$5,2,FALSE)="","",VLOOKUP(D53,Referencia!$A$2:$B$5,2,FALSE)),""))</f>
        <v/>
      </c>
      <c r="N53" s="5">
        <f>IF(OR(L53="",M53=""),"",IF(L53&gt;=M53,"C","NC"))</f>
        <v/>
      </c>
      <c r="O53" s="3" t="n"/>
      <c r="P53" s="3" t="n"/>
      <c r="Q53" s="5">
        <f>IF(OR(O53="",P53=""),"",ROUND(O53-P53,2))</f>
        <v/>
      </c>
      <c r="R53" s="5">
        <f>IF(Q53="","",IF(Q53&gt;=Referencia!$B$8,"C","NC"))</f>
        <v/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5">
        <f>IF(F53="","",(N53="NC")+(R53="NC")+(S53="Não")+(S53="Parcial")+(T53="Sim")+(U53="Sim")+(V53="Sim")+(W53="Sim")+(X53="Sim"))</f>
        <v/>
      </c>
      <c r="AB53" s="5">
        <f>IF(AA53="","",IF(AA53&gt;0,"Sim","Não"))</f>
        <v/>
      </c>
      <c r="AC53" s="3" t="n"/>
      <c r="AD53" s="3" t="n"/>
    </row>
    <row r="54">
      <c r="A54" s="3" t="n"/>
      <c r="B54" s="3" t="n"/>
      <c r="C54" s="4" t="n"/>
      <c r="D54" s="3" t="n"/>
      <c r="E54" s="3" t="n"/>
      <c r="F54" s="3" t="n"/>
      <c r="G54" s="3" t="n"/>
      <c r="H54" s="3" t="n"/>
      <c r="I54" s="3" t="n"/>
      <c r="J54" s="3" t="n"/>
      <c r="K54" s="3" t="n"/>
      <c r="L54" s="5">
        <f>IF(H54&lt;&gt;"",H54,IF(AND(I54&lt;&gt;"",J54&lt;&gt;""),ROUND(I54*TAN(RADIANS(J54))+IF(K54="",1.6,K54),2),""))</f>
        <v/>
      </c>
      <c r="M54" s="5">
        <f>IF(D54="","",IFERROR(IF(VLOOKUP(D54,Referencia!$A$2:$B$5,2,FALSE)="","",VLOOKUP(D54,Referencia!$A$2:$B$5,2,FALSE)),""))</f>
        <v/>
      </c>
      <c r="N54" s="5">
        <f>IF(OR(L54="",M54=""),"",IF(L54&gt;=M54,"C","NC"))</f>
        <v/>
      </c>
      <c r="O54" s="3" t="n"/>
      <c r="P54" s="3" t="n"/>
      <c r="Q54" s="5">
        <f>IF(OR(O54="",P54=""),"",ROUND(O54-P54,2))</f>
        <v/>
      </c>
      <c r="R54" s="5">
        <f>IF(Q54="","",IF(Q54&gt;=Referencia!$B$8,"C","NC"))</f>
        <v/>
      </c>
      <c r="S54" s="3" t="n"/>
      <c r="T54" s="3" t="n"/>
      <c r="U54" s="3" t="n"/>
      <c r="V54" s="3" t="n"/>
      <c r="W54" s="3" t="n"/>
      <c r="X54" s="3" t="n"/>
      <c r="Y54" s="3" t="n"/>
      <c r="Z54" s="3" t="n"/>
      <c r="AA54" s="5">
        <f>IF(F54="","",(N54="NC")+(R54="NC")+(S54="Não")+(S54="Parcial")+(T54="Sim")+(U54="Sim")+(V54="Sim")+(W54="Sim")+(X54="Sim"))</f>
        <v/>
      </c>
      <c r="AB54" s="5">
        <f>IF(AA54="","",IF(AA54&gt;0,"Sim","Não"))</f>
        <v/>
      </c>
      <c r="AC54" s="3" t="n"/>
      <c r="AD54" s="3" t="n"/>
    </row>
    <row r="55">
      <c r="A55" s="3" t="n"/>
      <c r="B55" s="3" t="n"/>
      <c r="C55" s="4" t="n"/>
      <c r="D55" s="3" t="n"/>
      <c r="E55" s="3" t="n"/>
      <c r="F55" s="3" t="n"/>
      <c r="G55" s="3" t="n"/>
      <c r="H55" s="3" t="n"/>
      <c r="I55" s="3" t="n"/>
      <c r="J55" s="3" t="n"/>
      <c r="K55" s="3" t="n"/>
      <c r="L55" s="5">
        <f>IF(H55&lt;&gt;"",H55,IF(AND(I55&lt;&gt;"",J55&lt;&gt;""),ROUND(I55*TAN(RADIANS(J55))+IF(K55="",1.6,K55),2),""))</f>
        <v/>
      </c>
      <c r="M55" s="5">
        <f>IF(D55="","",IFERROR(IF(VLOOKUP(D55,Referencia!$A$2:$B$5,2,FALSE)="","",VLOOKUP(D55,Referencia!$A$2:$B$5,2,FALSE)),""))</f>
        <v/>
      </c>
      <c r="N55" s="5">
        <f>IF(OR(L55="",M55=""),"",IF(L55&gt;=M55,"C","NC"))</f>
        <v/>
      </c>
      <c r="O55" s="3" t="n"/>
      <c r="P55" s="3" t="n"/>
      <c r="Q55" s="5">
        <f>IF(OR(O55="",P55=""),"",ROUND(O55-P55,2))</f>
        <v/>
      </c>
      <c r="R55" s="5">
        <f>IF(Q55="","",IF(Q55&gt;=Referencia!$B$8,"C","NC"))</f>
        <v/>
      </c>
      <c r="S55" s="3" t="n"/>
      <c r="T55" s="3" t="n"/>
      <c r="U55" s="3" t="n"/>
      <c r="V55" s="3" t="n"/>
      <c r="W55" s="3" t="n"/>
      <c r="X55" s="3" t="n"/>
      <c r="Y55" s="3" t="n"/>
      <c r="Z55" s="3" t="n"/>
      <c r="AA55" s="5">
        <f>IF(F55="","",(N55="NC")+(R55="NC")+(S55="Não")+(S55="Parcial")+(T55="Sim")+(U55="Sim")+(V55="Sim")+(W55="Sim")+(X55="Sim"))</f>
        <v/>
      </c>
      <c r="AB55" s="5">
        <f>IF(AA55="","",IF(AA55&gt;0,"Sim","Não"))</f>
        <v/>
      </c>
      <c r="AC55" s="3" t="n"/>
      <c r="AD55" s="3" t="n"/>
    </row>
    <row r="56">
      <c r="A56" s="3" t="n"/>
      <c r="B56" s="3" t="n"/>
      <c r="C56" s="4" t="n"/>
      <c r="D56" s="3" t="n"/>
      <c r="E56" s="3" t="n"/>
      <c r="F56" s="3" t="n"/>
      <c r="G56" s="3" t="n"/>
      <c r="H56" s="3" t="n"/>
      <c r="I56" s="3" t="n"/>
      <c r="J56" s="3" t="n"/>
      <c r="K56" s="3" t="n"/>
      <c r="L56" s="5">
        <f>IF(H56&lt;&gt;"",H56,IF(AND(I56&lt;&gt;"",J56&lt;&gt;""),ROUND(I56*TAN(RADIANS(J56))+IF(K56="",1.6,K56),2),""))</f>
        <v/>
      </c>
      <c r="M56" s="5">
        <f>IF(D56="","",IFERROR(IF(VLOOKUP(D56,Referencia!$A$2:$B$5,2,FALSE)="","",VLOOKUP(D56,Referencia!$A$2:$B$5,2,FALSE)),""))</f>
        <v/>
      </c>
      <c r="N56" s="5">
        <f>IF(OR(L56="",M56=""),"",IF(L56&gt;=M56,"C","NC"))</f>
        <v/>
      </c>
      <c r="O56" s="3" t="n"/>
      <c r="P56" s="3" t="n"/>
      <c r="Q56" s="5">
        <f>IF(OR(O56="",P56=""),"",ROUND(O56-P56,2))</f>
        <v/>
      </c>
      <c r="R56" s="5">
        <f>IF(Q56="","",IF(Q56&gt;=Referencia!$B$8,"C","NC"))</f>
        <v/>
      </c>
      <c r="S56" s="3" t="n"/>
      <c r="T56" s="3" t="n"/>
      <c r="U56" s="3" t="n"/>
      <c r="V56" s="3" t="n"/>
      <c r="W56" s="3" t="n"/>
      <c r="X56" s="3" t="n"/>
      <c r="Y56" s="3" t="n"/>
      <c r="Z56" s="3" t="n"/>
      <c r="AA56" s="5">
        <f>IF(F56="","",(N56="NC")+(R56="NC")+(S56="Não")+(S56="Parcial")+(T56="Sim")+(U56="Sim")+(V56="Sim")+(W56="Sim")+(X56="Sim"))</f>
        <v/>
      </c>
      <c r="AB56" s="5">
        <f>IF(AA56="","",IF(AA56&gt;0,"Sim","Não"))</f>
        <v/>
      </c>
      <c r="AC56" s="3" t="n"/>
      <c r="AD56" s="3" t="n"/>
    </row>
    <row r="57">
      <c r="A57" s="3" t="n"/>
      <c r="B57" s="3" t="n"/>
      <c r="C57" s="4" t="n"/>
      <c r="D57" s="3" t="n"/>
      <c r="E57" s="3" t="n"/>
      <c r="F57" s="3" t="n"/>
      <c r="G57" s="3" t="n"/>
      <c r="H57" s="3" t="n"/>
      <c r="I57" s="3" t="n"/>
      <c r="J57" s="3" t="n"/>
      <c r="K57" s="3" t="n"/>
      <c r="L57" s="5">
        <f>IF(H57&lt;&gt;"",H57,IF(AND(I57&lt;&gt;"",J57&lt;&gt;""),ROUND(I57*TAN(RADIANS(J57))+IF(K57="",1.6,K57),2),""))</f>
        <v/>
      </c>
      <c r="M57" s="5">
        <f>IF(D57="","",IFERROR(IF(VLOOKUP(D57,Referencia!$A$2:$B$5,2,FALSE)="","",VLOOKUP(D57,Referencia!$A$2:$B$5,2,FALSE)),""))</f>
        <v/>
      </c>
      <c r="N57" s="5">
        <f>IF(OR(L57="",M57=""),"",IF(L57&gt;=M57,"C","NC"))</f>
        <v/>
      </c>
      <c r="O57" s="3" t="n"/>
      <c r="P57" s="3" t="n"/>
      <c r="Q57" s="5">
        <f>IF(OR(O57="",P57=""),"",ROUND(O57-P57,2))</f>
        <v/>
      </c>
      <c r="R57" s="5">
        <f>IF(Q57="","",IF(Q57&gt;=Referencia!$B$8,"C","NC"))</f>
        <v/>
      </c>
      <c r="S57" s="3" t="n"/>
      <c r="T57" s="3" t="n"/>
      <c r="U57" s="3" t="n"/>
      <c r="V57" s="3" t="n"/>
      <c r="W57" s="3" t="n"/>
      <c r="X57" s="3" t="n"/>
      <c r="Y57" s="3" t="n"/>
      <c r="Z57" s="3" t="n"/>
      <c r="AA57" s="5">
        <f>IF(F57="","",(N57="NC")+(R57="NC")+(S57="Não")+(S57="Parcial")+(T57="Sim")+(U57="Sim")+(V57="Sim")+(W57="Sim")+(X57="Sim"))</f>
        <v/>
      </c>
      <c r="AB57" s="5">
        <f>IF(AA57="","",IF(AA57&gt;0,"Sim","Não"))</f>
        <v/>
      </c>
      <c r="AC57" s="3" t="n"/>
      <c r="AD57" s="3" t="n"/>
    </row>
    <row r="58">
      <c r="A58" s="3" t="n"/>
      <c r="B58" s="3" t="n"/>
      <c r="C58" s="4" t="n"/>
      <c r="D58" s="3" t="n"/>
      <c r="E58" s="3" t="n"/>
      <c r="F58" s="3" t="n"/>
      <c r="G58" s="3" t="n"/>
      <c r="H58" s="3" t="n"/>
      <c r="I58" s="3" t="n"/>
      <c r="J58" s="3" t="n"/>
      <c r="K58" s="3" t="n"/>
      <c r="L58" s="5">
        <f>IF(H58&lt;&gt;"",H58,IF(AND(I58&lt;&gt;"",J58&lt;&gt;""),ROUND(I58*TAN(RADIANS(J58))+IF(K58="",1.6,K58),2),""))</f>
        <v/>
      </c>
      <c r="M58" s="5">
        <f>IF(D58="","",IFERROR(IF(VLOOKUP(D58,Referencia!$A$2:$B$5,2,FALSE)="","",VLOOKUP(D58,Referencia!$A$2:$B$5,2,FALSE)),""))</f>
        <v/>
      </c>
      <c r="N58" s="5">
        <f>IF(OR(L58="",M58=""),"",IF(L58&gt;=M58,"C","NC"))</f>
        <v/>
      </c>
      <c r="O58" s="3" t="n"/>
      <c r="P58" s="3" t="n"/>
      <c r="Q58" s="5">
        <f>IF(OR(O58="",P58=""),"",ROUND(O58-P58,2))</f>
        <v/>
      </c>
      <c r="R58" s="5">
        <f>IF(Q58="","",IF(Q58&gt;=Referencia!$B$8,"C","NC"))</f>
        <v/>
      </c>
      <c r="S58" s="3" t="n"/>
      <c r="T58" s="3" t="n"/>
      <c r="U58" s="3" t="n"/>
      <c r="V58" s="3" t="n"/>
      <c r="W58" s="3" t="n"/>
      <c r="X58" s="3" t="n"/>
      <c r="Y58" s="3" t="n"/>
      <c r="Z58" s="3" t="n"/>
      <c r="AA58" s="5">
        <f>IF(F58="","",(N58="NC")+(R58="NC")+(S58="Não")+(S58="Parcial")+(T58="Sim")+(U58="Sim")+(V58="Sim")+(W58="Sim")+(X58="Sim"))</f>
        <v/>
      </c>
      <c r="AB58" s="5">
        <f>IF(AA58="","",IF(AA58&gt;0,"Sim","Não"))</f>
        <v/>
      </c>
      <c r="AC58" s="3" t="n"/>
      <c r="AD58" s="3" t="n"/>
    </row>
    <row r="59">
      <c r="A59" s="3" t="n"/>
      <c r="B59" s="3" t="n"/>
      <c r="C59" s="4" t="n"/>
      <c r="D59" s="3" t="n"/>
      <c r="E59" s="3" t="n"/>
      <c r="F59" s="3" t="n"/>
      <c r="G59" s="3" t="n"/>
      <c r="H59" s="3" t="n"/>
      <c r="I59" s="3" t="n"/>
      <c r="J59" s="3" t="n"/>
      <c r="K59" s="3" t="n"/>
      <c r="L59" s="5">
        <f>IF(H59&lt;&gt;"",H59,IF(AND(I59&lt;&gt;"",J59&lt;&gt;""),ROUND(I59*TAN(RADIANS(J59))+IF(K59="",1.6,K59),2),""))</f>
        <v/>
      </c>
      <c r="M59" s="5">
        <f>IF(D59="","",IFERROR(IF(VLOOKUP(D59,Referencia!$A$2:$B$5,2,FALSE)="","",VLOOKUP(D59,Referencia!$A$2:$B$5,2,FALSE)),""))</f>
        <v/>
      </c>
      <c r="N59" s="5">
        <f>IF(OR(L59="",M59=""),"",IF(L59&gt;=M59,"C","NC"))</f>
        <v/>
      </c>
      <c r="O59" s="3" t="n"/>
      <c r="P59" s="3" t="n"/>
      <c r="Q59" s="5">
        <f>IF(OR(O59="",P59=""),"",ROUND(O59-P59,2))</f>
        <v/>
      </c>
      <c r="R59" s="5">
        <f>IF(Q59="","",IF(Q59&gt;=Referencia!$B$8,"C","NC"))</f>
        <v/>
      </c>
      <c r="S59" s="3" t="n"/>
      <c r="T59" s="3" t="n"/>
      <c r="U59" s="3" t="n"/>
      <c r="V59" s="3" t="n"/>
      <c r="W59" s="3" t="n"/>
      <c r="X59" s="3" t="n"/>
      <c r="Y59" s="3" t="n"/>
      <c r="Z59" s="3" t="n"/>
      <c r="AA59" s="5">
        <f>IF(F59="","",(N59="NC")+(R59="NC")+(S59="Não")+(S59="Parcial")+(T59="Sim")+(U59="Sim")+(V59="Sim")+(W59="Sim")+(X59="Sim"))</f>
        <v/>
      </c>
      <c r="AB59" s="5">
        <f>IF(AA59="","",IF(AA59&gt;0,"Sim","Não"))</f>
        <v/>
      </c>
      <c r="AC59" s="3" t="n"/>
      <c r="AD59" s="3" t="n"/>
    </row>
    <row r="60">
      <c r="A60" s="3" t="n"/>
      <c r="B60" s="3" t="n"/>
      <c r="C60" s="4" t="n"/>
      <c r="D60" s="3" t="n"/>
      <c r="E60" s="3" t="n"/>
      <c r="F60" s="3" t="n"/>
      <c r="G60" s="3" t="n"/>
      <c r="H60" s="3" t="n"/>
      <c r="I60" s="3" t="n"/>
      <c r="J60" s="3" t="n"/>
      <c r="K60" s="3" t="n"/>
      <c r="L60" s="5">
        <f>IF(H60&lt;&gt;"",H60,IF(AND(I60&lt;&gt;"",J60&lt;&gt;""),ROUND(I60*TAN(RADIANS(J60))+IF(K60="",1.6,K60),2),""))</f>
        <v/>
      </c>
      <c r="M60" s="5">
        <f>IF(D60="","",IFERROR(IF(VLOOKUP(D60,Referencia!$A$2:$B$5,2,FALSE)="","",VLOOKUP(D60,Referencia!$A$2:$B$5,2,FALSE)),""))</f>
        <v/>
      </c>
      <c r="N60" s="5">
        <f>IF(OR(L60="",M60=""),"",IF(L60&gt;=M60,"C","NC"))</f>
        <v/>
      </c>
      <c r="O60" s="3" t="n"/>
      <c r="P60" s="3" t="n"/>
      <c r="Q60" s="5">
        <f>IF(OR(O60="",P60=""),"",ROUND(O60-P60,2))</f>
        <v/>
      </c>
      <c r="R60" s="5">
        <f>IF(Q60="","",IF(Q60&gt;=Referencia!$B$8,"C","NC"))</f>
        <v/>
      </c>
      <c r="S60" s="3" t="n"/>
      <c r="T60" s="3" t="n"/>
      <c r="U60" s="3" t="n"/>
      <c r="V60" s="3" t="n"/>
      <c r="W60" s="3" t="n"/>
      <c r="X60" s="3" t="n"/>
      <c r="Y60" s="3" t="n"/>
      <c r="Z60" s="3" t="n"/>
      <c r="AA60" s="5">
        <f>IF(F60="","",(N60="NC")+(R60="NC")+(S60="Não")+(S60="Parcial")+(T60="Sim")+(U60="Sim")+(V60="Sim")+(W60="Sim")+(X60="Sim"))</f>
        <v/>
      </c>
      <c r="AB60" s="5">
        <f>IF(AA60="","",IF(AA60&gt;0,"Sim","Não"))</f>
        <v/>
      </c>
      <c r="AC60" s="3" t="n"/>
      <c r="AD60" s="3" t="n"/>
    </row>
    <row r="61">
      <c r="A61" s="3" t="n"/>
      <c r="B61" s="3" t="n"/>
      <c r="C61" s="4" t="n"/>
      <c r="D61" s="3" t="n"/>
      <c r="E61" s="3" t="n"/>
      <c r="F61" s="3" t="n"/>
      <c r="G61" s="3" t="n"/>
      <c r="H61" s="3" t="n"/>
      <c r="I61" s="3" t="n"/>
      <c r="J61" s="3" t="n"/>
      <c r="K61" s="3" t="n"/>
      <c r="L61" s="5">
        <f>IF(H61&lt;&gt;"",H61,IF(AND(I61&lt;&gt;"",J61&lt;&gt;""),ROUND(I61*TAN(RADIANS(J61))+IF(K61="",1.6,K61),2),""))</f>
        <v/>
      </c>
      <c r="M61" s="5">
        <f>IF(D61="","",IFERROR(IF(VLOOKUP(D61,Referencia!$A$2:$B$5,2,FALSE)="","",VLOOKUP(D61,Referencia!$A$2:$B$5,2,FALSE)),""))</f>
        <v/>
      </c>
      <c r="N61" s="5">
        <f>IF(OR(L61="",M61=""),"",IF(L61&gt;=M61,"C","NC"))</f>
        <v/>
      </c>
      <c r="O61" s="3" t="n"/>
      <c r="P61" s="3" t="n"/>
      <c r="Q61" s="5">
        <f>IF(OR(O61="",P61=""),"",ROUND(O61-P61,2))</f>
        <v/>
      </c>
      <c r="R61" s="5">
        <f>IF(Q61="","",IF(Q61&gt;=Referencia!$B$8,"C","NC"))</f>
        <v/>
      </c>
      <c r="S61" s="3" t="n"/>
      <c r="T61" s="3" t="n"/>
      <c r="U61" s="3" t="n"/>
      <c r="V61" s="3" t="n"/>
      <c r="W61" s="3" t="n"/>
      <c r="X61" s="3" t="n"/>
      <c r="Y61" s="3" t="n"/>
      <c r="Z61" s="3" t="n"/>
      <c r="AA61" s="5">
        <f>IF(F61="","",(N61="NC")+(R61="NC")+(S61="Não")+(S61="Parcial")+(T61="Sim")+(U61="Sim")+(V61="Sim")+(W61="Sim")+(X61="Sim"))</f>
        <v/>
      </c>
      <c r="AB61" s="5">
        <f>IF(AA61="","",IF(AA61&gt;0,"Sim","Não"))</f>
        <v/>
      </c>
      <c r="AC61" s="3" t="n"/>
      <c r="AD61" s="3" t="n"/>
    </row>
    <row r="62">
      <c r="A62" s="3" t="n"/>
      <c r="B62" s="3" t="n"/>
      <c r="C62" s="4" t="n"/>
      <c r="D62" s="3" t="n"/>
      <c r="E62" s="3" t="n"/>
      <c r="F62" s="3" t="n"/>
      <c r="G62" s="3" t="n"/>
      <c r="H62" s="3" t="n"/>
      <c r="I62" s="3" t="n"/>
      <c r="J62" s="3" t="n"/>
      <c r="K62" s="3" t="n"/>
      <c r="L62" s="5">
        <f>IF(H62&lt;&gt;"",H62,IF(AND(I62&lt;&gt;"",J62&lt;&gt;""),ROUND(I62*TAN(RADIANS(J62))+IF(K62="",1.6,K62),2),""))</f>
        <v/>
      </c>
      <c r="M62" s="5">
        <f>IF(D62="","",IFERROR(IF(VLOOKUP(D62,Referencia!$A$2:$B$5,2,FALSE)="","",VLOOKUP(D62,Referencia!$A$2:$B$5,2,FALSE)),""))</f>
        <v/>
      </c>
      <c r="N62" s="5">
        <f>IF(OR(L62="",M62=""),"",IF(L62&gt;=M62,"C","NC"))</f>
        <v/>
      </c>
      <c r="O62" s="3" t="n"/>
      <c r="P62" s="3" t="n"/>
      <c r="Q62" s="5">
        <f>IF(OR(O62="",P62=""),"",ROUND(O62-P62,2))</f>
        <v/>
      </c>
      <c r="R62" s="5">
        <f>IF(Q62="","",IF(Q62&gt;=Referencia!$B$8,"C","NC"))</f>
        <v/>
      </c>
      <c r="S62" s="3" t="n"/>
      <c r="T62" s="3" t="n"/>
      <c r="U62" s="3" t="n"/>
      <c r="V62" s="3" t="n"/>
      <c r="W62" s="3" t="n"/>
      <c r="X62" s="3" t="n"/>
      <c r="Y62" s="3" t="n"/>
      <c r="Z62" s="3" t="n"/>
      <c r="AA62" s="5">
        <f>IF(F62="","",(N62="NC")+(R62="NC")+(S62="Não")+(S62="Parcial")+(T62="Sim")+(U62="Sim")+(V62="Sim")+(W62="Sim")+(X62="Sim"))</f>
        <v/>
      </c>
      <c r="AB62" s="5">
        <f>IF(AA62="","",IF(AA62&gt;0,"Sim","Não"))</f>
        <v/>
      </c>
      <c r="AC62" s="3" t="n"/>
      <c r="AD62" s="3" t="n"/>
    </row>
    <row r="63">
      <c r="A63" s="3" t="n"/>
      <c r="B63" s="3" t="n"/>
      <c r="C63" s="4" t="n"/>
      <c r="D63" s="3" t="n"/>
      <c r="E63" s="3" t="n"/>
      <c r="F63" s="3" t="n"/>
      <c r="G63" s="3" t="n"/>
      <c r="H63" s="3" t="n"/>
      <c r="I63" s="3" t="n"/>
      <c r="J63" s="3" t="n"/>
      <c r="K63" s="3" t="n"/>
      <c r="L63" s="5">
        <f>IF(H63&lt;&gt;"",H63,IF(AND(I63&lt;&gt;"",J63&lt;&gt;""),ROUND(I63*TAN(RADIANS(J63))+IF(K63="",1.6,K63),2),""))</f>
        <v/>
      </c>
      <c r="M63" s="5">
        <f>IF(D63="","",IFERROR(IF(VLOOKUP(D63,Referencia!$A$2:$B$5,2,FALSE)="","",VLOOKUP(D63,Referencia!$A$2:$B$5,2,FALSE)),""))</f>
        <v/>
      </c>
      <c r="N63" s="5">
        <f>IF(OR(L63="",M63=""),"",IF(L63&gt;=M63,"C","NC"))</f>
        <v/>
      </c>
      <c r="O63" s="3" t="n"/>
      <c r="P63" s="3" t="n"/>
      <c r="Q63" s="5">
        <f>IF(OR(O63="",P63=""),"",ROUND(O63-P63,2))</f>
        <v/>
      </c>
      <c r="R63" s="5">
        <f>IF(Q63="","",IF(Q63&gt;=Referencia!$B$8,"C","NC"))</f>
        <v/>
      </c>
      <c r="S63" s="3" t="n"/>
      <c r="T63" s="3" t="n"/>
      <c r="U63" s="3" t="n"/>
      <c r="V63" s="3" t="n"/>
      <c r="W63" s="3" t="n"/>
      <c r="X63" s="3" t="n"/>
      <c r="Y63" s="3" t="n"/>
      <c r="Z63" s="3" t="n"/>
      <c r="AA63" s="5">
        <f>IF(F63="","",(N63="NC")+(R63="NC")+(S63="Não")+(S63="Parcial")+(T63="Sim")+(U63="Sim")+(V63="Sim")+(W63="Sim")+(X63="Sim"))</f>
        <v/>
      </c>
      <c r="AB63" s="5">
        <f>IF(AA63="","",IF(AA63&gt;0,"Sim","Não"))</f>
        <v/>
      </c>
      <c r="AC63" s="3" t="n"/>
      <c r="AD63" s="3" t="n"/>
    </row>
    <row r="64">
      <c r="A64" s="3" t="n"/>
      <c r="B64" s="3" t="n"/>
      <c r="C64" s="4" t="n"/>
      <c r="D64" s="3" t="n"/>
      <c r="E64" s="3" t="n"/>
      <c r="F64" s="3" t="n"/>
      <c r="G64" s="3" t="n"/>
      <c r="H64" s="3" t="n"/>
      <c r="I64" s="3" t="n"/>
      <c r="J64" s="3" t="n"/>
      <c r="K64" s="3" t="n"/>
      <c r="L64" s="5">
        <f>IF(H64&lt;&gt;"",H64,IF(AND(I64&lt;&gt;"",J64&lt;&gt;""),ROUND(I64*TAN(RADIANS(J64))+IF(K64="",1.6,K64),2),""))</f>
        <v/>
      </c>
      <c r="M64" s="5">
        <f>IF(D64="","",IFERROR(IF(VLOOKUP(D64,Referencia!$A$2:$B$5,2,FALSE)="","",VLOOKUP(D64,Referencia!$A$2:$B$5,2,FALSE)),""))</f>
        <v/>
      </c>
      <c r="N64" s="5">
        <f>IF(OR(L64="",M64=""),"",IF(L64&gt;=M64,"C","NC"))</f>
        <v/>
      </c>
      <c r="O64" s="3" t="n"/>
      <c r="P64" s="3" t="n"/>
      <c r="Q64" s="5">
        <f>IF(OR(O64="",P64=""),"",ROUND(O64-P64,2))</f>
        <v/>
      </c>
      <c r="R64" s="5">
        <f>IF(Q64="","",IF(Q64&gt;=Referencia!$B$8,"C","NC"))</f>
        <v/>
      </c>
      <c r="S64" s="3" t="n"/>
      <c r="T64" s="3" t="n"/>
      <c r="U64" s="3" t="n"/>
      <c r="V64" s="3" t="n"/>
      <c r="W64" s="3" t="n"/>
      <c r="X64" s="3" t="n"/>
      <c r="Y64" s="3" t="n"/>
      <c r="Z64" s="3" t="n"/>
      <c r="AA64" s="5">
        <f>IF(F64="","",(N64="NC")+(R64="NC")+(S64="Não")+(S64="Parcial")+(T64="Sim")+(U64="Sim")+(V64="Sim")+(W64="Sim")+(X64="Sim"))</f>
        <v/>
      </c>
      <c r="AB64" s="5">
        <f>IF(AA64="","",IF(AA64&gt;0,"Sim","Não"))</f>
        <v/>
      </c>
      <c r="AC64" s="3" t="n"/>
      <c r="AD64" s="3" t="n"/>
    </row>
    <row r="65">
      <c r="A65" s="3" t="n"/>
      <c r="B65" s="3" t="n"/>
      <c r="C65" s="4" t="n"/>
      <c r="D65" s="3" t="n"/>
      <c r="E65" s="3" t="n"/>
      <c r="F65" s="3" t="n"/>
      <c r="G65" s="3" t="n"/>
      <c r="H65" s="3" t="n"/>
      <c r="I65" s="3" t="n"/>
      <c r="J65" s="3" t="n"/>
      <c r="K65" s="3" t="n"/>
      <c r="L65" s="5">
        <f>IF(H65&lt;&gt;"",H65,IF(AND(I65&lt;&gt;"",J65&lt;&gt;""),ROUND(I65*TAN(RADIANS(J65))+IF(K65="",1.6,K65),2),""))</f>
        <v/>
      </c>
      <c r="M65" s="5">
        <f>IF(D65="","",IFERROR(IF(VLOOKUP(D65,Referencia!$A$2:$B$5,2,FALSE)="","",VLOOKUP(D65,Referencia!$A$2:$B$5,2,FALSE)),""))</f>
        <v/>
      </c>
      <c r="N65" s="5">
        <f>IF(OR(L65="",M65=""),"",IF(L65&gt;=M65,"C","NC"))</f>
        <v/>
      </c>
      <c r="O65" s="3" t="n"/>
      <c r="P65" s="3" t="n"/>
      <c r="Q65" s="5">
        <f>IF(OR(O65="",P65=""),"",ROUND(O65-P65,2))</f>
        <v/>
      </c>
      <c r="R65" s="5">
        <f>IF(Q65="","",IF(Q65&gt;=Referencia!$B$8,"C","NC"))</f>
        <v/>
      </c>
      <c r="S65" s="3" t="n"/>
      <c r="T65" s="3" t="n"/>
      <c r="U65" s="3" t="n"/>
      <c r="V65" s="3" t="n"/>
      <c r="W65" s="3" t="n"/>
      <c r="X65" s="3" t="n"/>
      <c r="Y65" s="3" t="n"/>
      <c r="Z65" s="3" t="n"/>
      <c r="AA65" s="5">
        <f>IF(F65="","",(N65="NC")+(R65="NC")+(S65="Não")+(S65="Parcial")+(T65="Sim")+(U65="Sim")+(V65="Sim")+(W65="Sim")+(X65="Sim"))</f>
        <v/>
      </c>
      <c r="AB65" s="5">
        <f>IF(AA65="","",IF(AA65&gt;0,"Sim","Não"))</f>
        <v/>
      </c>
      <c r="AC65" s="3" t="n"/>
      <c r="AD65" s="3" t="n"/>
    </row>
    <row r="66">
      <c r="A66" s="3" t="n"/>
      <c r="B66" s="3" t="n"/>
      <c r="C66" s="4" t="n"/>
      <c r="D66" s="3" t="n"/>
      <c r="E66" s="3" t="n"/>
      <c r="F66" s="3" t="n"/>
      <c r="G66" s="3" t="n"/>
      <c r="H66" s="3" t="n"/>
      <c r="I66" s="3" t="n"/>
      <c r="J66" s="3" t="n"/>
      <c r="K66" s="3" t="n"/>
      <c r="L66" s="5">
        <f>IF(H66&lt;&gt;"",H66,IF(AND(I66&lt;&gt;"",J66&lt;&gt;""),ROUND(I66*TAN(RADIANS(J66))+IF(K66="",1.6,K66),2),""))</f>
        <v/>
      </c>
      <c r="M66" s="5">
        <f>IF(D66="","",IFERROR(IF(VLOOKUP(D66,Referencia!$A$2:$B$5,2,FALSE)="","",VLOOKUP(D66,Referencia!$A$2:$B$5,2,FALSE)),""))</f>
        <v/>
      </c>
      <c r="N66" s="5">
        <f>IF(OR(L66="",M66=""),"",IF(L66&gt;=M66,"C","NC"))</f>
        <v/>
      </c>
      <c r="O66" s="3" t="n"/>
      <c r="P66" s="3" t="n"/>
      <c r="Q66" s="5">
        <f>IF(OR(O66="",P66=""),"",ROUND(O66-P66,2))</f>
        <v/>
      </c>
      <c r="R66" s="5">
        <f>IF(Q66="","",IF(Q66&gt;=Referencia!$B$8,"C","NC"))</f>
        <v/>
      </c>
      <c r="S66" s="3" t="n"/>
      <c r="T66" s="3" t="n"/>
      <c r="U66" s="3" t="n"/>
      <c r="V66" s="3" t="n"/>
      <c r="W66" s="3" t="n"/>
      <c r="X66" s="3" t="n"/>
      <c r="Y66" s="3" t="n"/>
      <c r="Z66" s="3" t="n"/>
      <c r="AA66" s="5">
        <f>IF(F66="","",(N66="NC")+(R66="NC")+(S66="Não")+(S66="Parcial")+(T66="Sim")+(U66="Sim")+(V66="Sim")+(W66="Sim")+(X66="Sim"))</f>
        <v/>
      </c>
      <c r="AB66" s="5">
        <f>IF(AA66="","",IF(AA66&gt;0,"Sim","Não"))</f>
        <v/>
      </c>
      <c r="AC66" s="3" t="n"/>
      <c r="AD66" s="3" t="n"/>
    </row>
    <row r="67">
      <c r="A67" s="3" t="n"/>
      <c r="B67" s="3" t="n"/>
      <c r="C67" s="4" t="n"/>
      <c r="D67" s="3" t="n"/>
      <c r="E67" s="3" t="n"/>
      <c r="F67" s="3" t="n"/>
      <c r="G67" s="3" t="n"/>
      <c r="H67" s="3" t="n"/>
      <c r="I67" s="3" t="n"/>
      <c r="J67" s="3" t="n"/>
      <c r="K67" s="3" t="n"/>
      <c r="L67" s="5">
        <f>IF(H67&lt;&gt;"",H67,IF(AND(I67&lt;&gt;"",J67&lt;&gt;""),ROUND(I67*TAN(RADIANS(J67))+IF(K67="",1.6,K67),2),""))</f>
        <v/>
      </c>
      <c r="M67" s="5">
        <f>IF(D67="","",IFERROR(IF(VLOOKUP(D67,Referencia!$A$2:$B$5,2,FALSE)="","",VLOOKUP(D67,Referencia!$A$2:$B$5,2,FALSE)),""))</f>
        <v/>
      </c>
      <c r="N67" s="5">
        <f>IF(OR(L67="",M67=""),"",IF(L67&gt;=M67,"C","NC"))</f>
        <v/>
      </c>
      <c r="O67" s="3" t="n"/>
      <c r="P67" s="3" t="n"/>
      <c r="Q67" s="5">
        <f>IF(OR(O67="",P67=""),"",ROUND(O67-P67,2))</f>
        <v/>
      </c>
      <c r="R67" s="5">
        <f>IF(Q67="","",IF(Q67&gt;=Referencia!$B$8,"C","NC"))</f>
        <v/>
      </c>
      <c r="S67" s="3" t="n"/>
      <c r="T67" s="3" t="n"/>
      <c r="U67" s="3" t="n"/>
      <c r="V67" s="3" t="n"/>
      <c r="W67" s="3" t="n"/>
      <c r="X67" s="3" t="n"/>
      <c r="Y67" s="3" t="n"/>
      <c r="Z67" s="3" t="n"/>
      <c r="AA67" s="5">
        <f>IF(F67="","",(N67="NC")+(R67="NC")+(S67="Não")+(S67="Parcial")+(T67="Sim")+(U67="Sim")+(V67="Sim")+(W67="Sim")+(X67="Sim"))</f>
        <v/>
      </c>
      <c r="AB67" s="5">
        <f>IF(AA67="","",IF(AA67&gt;0,"Sim","Não"))</f>
        <v/>
      </c>
      <c r="AC67" s="3" t="n"/>
      <c r="AD67" s="3" t="n"/>
    </row>
    <row r="68">
      <c r="A68" s="3" t="n"/>
      <c r="B68" s="3" t="n"/>
      <c r="C68" s="4" t="n"/>
      <c r="D68" s="3" t="n"/>
      <c r="E68" s="3" t="n"/>
      <c r="F68" s="3" t="n"/>
      <c r="G68" s="3" t="n"/>
      <c r="H68" s="3" t="n"/>
      <c r="I68" s="3" t="n"/>
      <c r="J68" s="3" t="n"/>
      <c r="K68" s="3" t="n"/>
      <c r="L68" s="5">
        <f>IF(H68&lt;&gt;"",H68,IF(AND(I68&lt;&gt;"",J68&lt;&gt;""),ROUND(I68*TAN(RADIANS(J68))+IF(K68="",1.6,K68),2),""))</f>
        <v/>
      </c>
      <c r="M68" s="5">
        <f>IF(D68="","",IFERROR(IF(VLOOKUP(D68,Referencia!$A$2:$B$5,2,FALSE)="","",VLOOKUP(D68,Referencia!$A$2:$B$5,2,FALSE)),""))</f>
        <v/>
      </c>
      <c r="N68" s="5">
        <f>IF(OR(L68="",M68=""),"",IF(L68&gt;=M68,"C","NC"))</f>
        <v/>
      </c>
      <c r="O68" s="3" t="n"/>
      <c r="P68" s="3" t="n"/>
      <c r="Q68" s="5">
        <f>IF(OR(O68="",P68=""),"",ROUND(O68-P68,2))</f>
        <v/>
      </c>
      <c r="R68" s="5">
        <f>IF(Q68="","",IF(Q68&gt;=Referencia!$B$8,"C","NC"))</f>
        <v/>
      </c>
      <c r="S68" s="3" t="n"/>
      <c r="T68" s="3" t="n"/>
      <c r="U68" s="3" t="n"/>
      <c r="V68" s="3" t="n"/>
      <c r="W68" s="3" t="n"/>
      <c r="X68" s="3" t="n"/>
      <c r="Y68" s="3" t="n"/>
      <c r="Z68" s="3" t="n"/>
      <c r="AA68" s="5">
        <f>IF(F68="","",(N68="NC")+(R68="NC")+(S68="Não")+(S68="Parcial")+(T68="Sim")+(U68="Sim")+(V68="Sim")+(W68="Sim")+(X68="Sim"))</f>
        <v/>
      </c>
      <c r="AB68" s="5">
        <f>IF(AA68="","",IF(AA68&gt;0,"Sim","Não"))</f>
        <v/>
      </c>
      <c r="AC68" s="3" t="n"/>
      <c r="AD68" s="3" t="n"/>
    </row>
    <row r="69">
      <c r="A69" s="3" t="n"/>
      <c r="B69" s="3" t="n"/>
      <c r="C69" s="4" t="n"/>
      <c r="D69" s="3" t="n"/>
      <c r="E69" s="3" t="n"/>
      <c r="F69" s="3" t="n"/>
      <c r="G69" s="3" t="n"/>
      <c r="H69" s="3" t="n"/>
      <c r="I69" s="3" t="n"/>
      <c r="J69" s="3" t="n"/>
      <c r="K69" s="3" t="n"/>
      <c r="L69" s="5">
        <f>IF(H69&lt;&gt;"",H69,IF(AND(I69&lt;&gt;"",J69&lt;&gt;""),ROUND(I69*TAN(RADIANS(J69))+IF(K69="",1.6,K69),2),""))</f>
        <v/>
      </c>
      <c r="M69" s="5">
        <f>IF(D69="","",IFERROR(IF(VLOOKUP(D69,Referencia!$A$2:$B$5,2,FALSE)="","",VLOOKUP(D69,Referencia!$A$2:$B$5,2,FALSE)),""))</f>
        <v/>
      </c>
      <c r="N69" s="5">
        <f>IF(OR(L69="",M69=""),"",IF(L69&gt;=M69,"C","NC"))</f>
        <v/>
      </c>
      <c r="O69" s="3" t="n"/>
      <c r="P69" s="3" t="n"/>
      <c r="Q69" s="5">
        <f>IF(OR(O69="",P69=""),"",ROUND(O69-P69,2))</f>
        <v/>
      </c>
      <c r="R69" s="5">
        <f>IF(Q69="","",IF(Q69&gt;=Referencia!$B$8,"C","NC"))</f>
        <v/>
      </c>
      <c r="S69" s="3" t="n"/>
      <c r="T69" s="3" t="n"/>
      <c r="U69" s="3" t="n"/>
      <c r="V69" s="3" t="n"/>
      <c r="W69" s="3" t="n"/>
      <c r="X69" s="3" t="n"/>
      <c r="Y69" s="3" t="n"/>
      <c r="Z69" s="3" t="n"/>
      <c r="AA69" s="5">
        <f>IF(F69="","",(N69="NC")+(R69="NC")+(S69="Não")+(S69="Parcial")+(T69="Sim")+(U69="Sim")+(V69="Sim")+(W69="Sim")+(X69="Sim"))</f>
        <v/>
      </c>
      <c r="AB69" s="5">
        <f>IF(AA69="","",IF(AA69&gt;0,"Sim","Não"))</f>
        <v/>
      </c>
      <c r="AC69" s="3" t="n"/>
      <c r="AD69" s="3" t="n"/>
    </row>
    <row r="70">
      <c r="A70" s="3" t="n"/>
      <c r="B70" s="3" t="n"/>
      <c r="C70" s="4" t="n"/>
      <c r="D70" s="3" t="n"/>
      <c r="E70" s="3" t="n"/>
      <c r="F70" s="3" t="n"/>
      <c r="G70" s="3" t="n"/>
      <c r="H70" s="3" t="n"/>
      <c r="I70" s="3" t="n"/>
      <c r="J70" s="3" t="n"/>
      <c r="K70" s="3" t="n"/>
      <c r="L70" s="5">
        <f>IF(H70&lt;&gt;"",H70,IF(AND(I70&lt;&gt;"",J70&lt;&gt;""),ROUND(I70*TAN(RADIANS(J70))+IF(K70="",1.6,K70),2),""))</f>
        <v/>
      </c>
      <c r="M70" s="5">
        <f>IF(D70="","",IFERROR(IF(VLOOKUP(D70,Referencia!$A$2:$B$5,2,FALSE)="","",VLOOKUP(D70,Referencia!$A$2:$B$5,2,FALSE)),""))</f>
        <v/>
      </c>
      <c r="N70" s="5">
        <f>IF(OR(L70="",M70=""),"",IF(L70&gt;=M70,"C","NC"))</f>
        <v/>
      </c>
      <c r="O70" s="3" t="n"/>
      <c r="P70" s="3" t="n"/>
      <c r="Q70" s="5">
        <f>IF(OR(O70="",P70=""),"",ROUND(O70-P70,2))</f>
        <v/>
      </c>
      <c r="R70" s="5">
        <f>IF(Q70="","",IF(Q70&gt;=Referencia!$B$8,"C","NC"))</f>
        <v/>
      </c>
      <c r="S70" s="3" t="n"/>
      <c r="T70" s="3" t="n"/>
      <c r="U70" s="3" t="n"/>
      <c r="V70" s="3" t="n"/>
      <c r="W70" s="3" t="n"/>
      <c r="X70" s="3" t="n"/>
      <c r="Y70" s="3" t="n"/>
      <c r="Z70" s="3" t="n"/>
      <c r="AA70" s="5">
        <f>IF(F70="","",(N70="NC")+(R70="NC")+(S70="Não")+(S70="Parcial")+(T70="Sim")+(U70="Sim")+(V70="Sim")+(W70="Sim")+(X70="Sim"))</f>
        <v/>
      </c>
      <c r="AB70" s="5">
        <f>IF(AA70="","",IF(AA70&gt;0,"Sim","Não"))</f>
        <v/>
      </c>
      <c r="AC70" s="3" t="n"/>
      <c r="AD70" s="3" t="n"/>
    </row>
    <row r="71">
      <c r="A71" s="3" t="n"/>
      <c r="B71" s="3" t="n"/>
      <c r="C71" s="4" t="n"/>
      <c r="D71" s="3" t="n"/>
      <c r="E71" s="3" t="n"/>
      <c r="F71" s="3" t="n"/>
      <c r="G71" s="3" t="n"/>
      <c r="H71" s="3" t="n"/>
      <c r="I71" s="3" t="n"/>
      <c r="J71" s="3" t="n"/>
      <c r="K71" s="3" t="n"/>
      <c r="L71" s="5">
        <f>IF(H71&lt;&gt;"",H71,IF(AND(I71&lt;&gt;"",J71&lt;&gt;""),ROUND(I71*TAN(RADIANS(J71))+IF(K71="",1.6,K71),2),""))</f>
        <v/>
      </c>
      <c r="M71" s="5">
        <f>IF(D71="","",IFERROR(IF(VLOOKUP(D71,Referencia!$A$2:$B$5,2,FALSE)="","",VLOOKUP(D71,Referencia!$A$2:$B$5,2,FALSE)),""))</f>
        <v/>
      </c>
      <c r="N71" s="5">
        <f>IF(OR(L71="",M71=""),"",IF(L71&gt;=M71,"C","NC"))</f>
        <v/>
      </c>
      <c r="O71" s="3" t="n"/>
      <c r="P71" s="3" t="n"/>
      <c r="Q71" s="5">
        <f>IF(OR(O71="",P71=""),"",ROUND(O71-P71,2))</f>
        <v/>
      </c>
      <c r="R71" s="5">
        <f>IF(Q71="","",IF(Q71&gt;=Referencia!$B$8,"C","NC"))</f>
        <v/>
      </c>
      <c r="S71" s="3" t="n"/>
      <c r="T71" s="3" t="n"/>
      <c r="U71" s="3" t="n"/>
      <c r="V71" s="3" t="n"/>
      <c r="W71" s="3" t="n"/>
      <c r="X71" s="3" t="n"/>
      <c r="Y71" s="3" t="n"/>
      <c r="Z71" s="3" t="n"/>
      <c r="AA71" s="5">
        <f>IF(F71="","",(N71="NC")+(R71="NC")+(S71="Não")+(S71="Parcial")+(T71="Sim")+(U71="Sim")+(V71="Sim")+(W71="Sim")+(X71="Sim"))</f>
        <v/>
      </c>
      <c r="AB71" s="5">
        <f>IF(AA71="","",IF(AA71&gt;0,"Sim","Não"))</f>
        <v/>
      </c>
      <c r="AC71" s="3" t="n"/>
      <c r="AD71" s="3" t="n"/>
    </row>
    <row r="72">
      <c r="A72" s="3" t="n"/>
      <c r="B72" s="3" t="n"/>
      <c r="C72" s="4" t="n"/>
      <c r="D72" s="3" t="n"/>
      <c r="E72" s="3" t="n"/>
      <c r="F72" s="3" t="n"/>
      <c r="G72" s="3" t="n"/>
      <c r="H72" s="3" t="n"/>
      <c r="I72" s="3" t="n"/>
      <c r="J72" s="3" t="n"/>
      <c r="K72" s="3" t="n"/>
      <c r="L72" s="5">
        <f>IF(H72&lt;&gt;"",H72,IF(AND(I72&lt;&gt;"",J72&lt;&gt;""),ROUND(I72*TAN(RADIANS(J72))+IF(K72="",1.6,K72),2),""))</f>
        <v/>
      </c>
      <c r="M72" s="5">
        <f>IF(D72="","",IFERROR(IF(VLOOKUP(D72,Referencia!$A$2:$B$5,2,FALSE)="","",VLOOKUP(D72,Referencia!$A$2:$B$5,2,FALSE)),""))</f>
        <v/>
      </c>
      <c r="N72" s="5">
        <f>IF(OR(L72="",M72=""),"",IF(L72&gt;=M72,"C","NC"))</f>
        <v/>
      </c>
      <c r="O72" s="3" t="n"/>
      <c r="P72" s="3" t="n"/>
      <c r="Q72" s="5">
        <f>IF(OR(O72="",P72=""),"",ROUND(O72-P72,2))</f>
        <v/>
      </c>
      <c r="R72" s="5">
        <f>IF(Q72="","",IF(Q72&gt;=Referencia!$B$8,"C","NC"))</f>
        <v/>
      </c>
      <c r="S72" s="3" t="n"/>
      <c r="T72" s="3" t="n"/>
      <c r="U72" s="3" t="n"/>
      <c r="V72" s="3" t="n"/>
      <c r="W72" s="3" t="n"/>
      <c r="X72" s="3" t="n"/>
      <c r="Y72" s="3" t="n"/>
      <c r="Z72" s="3" t="n"/>
      <c r="AA72" s="5">
        <f>IF(F72="","",(N72="NC")+(R72="NC")+(S72="Não")+(S72="Parcial")+(T72="Sim")+(U72="Sim")+(V72="Sim")+(W72="Sim")+(X72="Sim"))</f>
        <v/>
      </c>
      <c r="AB72" s="5">
        <f>IF(AA72="","",IF(AA72&gt;0,"Sim","Não"))</f>
        <v/>
      </c>
      <c r="AC72" s="3" t="n"/>
      <c r="AD72" s="3" t="n"/>
    </row>
    <row r="73">
      <c r="A73" s="3" t="n"/>
      <c r="B73" s="3" t="n"/>
      <c r="C73" s="4" t="n"/>
      <c r="D73" s="3" t="n"/>
      <c r="E73" s="3" t="n"/>
      <c r="F73" s="3" t="n"/>
      <c r="G73" s="3" t="n"/>
      <c r="H73" s="3" t="n"/>
      <c r="I73" s="3" t="n"/>
      <c r="J73" s="3" t="n"/>
      <c r="K73" s="3" t="n"/>
      <c r="L73" s="5">
        <f>IF(H73&lt;&gt;"",H73,IF(AND(I73&lt;&gt;"",J73&lt;&gt;""),ROUND(I73*TAN(RADIANS(J73))+IF(K73="",1.6,K73),2),""))</f>
        <v/>
      </c>
      <c r="M73" s="5">
        <f>IF(D73="","",IFERROR(IF(VLOOKUP(D73,Referencia!$A$2:$B$5,2,FALSE)="","",VLOOKUP(D73,Referencia!$A$2:$B$5,2,FALSE)),""))</f>
        <v/>
      </c>
      <c r="N73" s="5">
        <f>IF(OR(L73="",M73=""),"",IF(L73&gt;=M73,"C","NC"))</f>
        <v/>
      </c>
      <c r="O73" s="3" t="n"/>
      <c r="P73" s="3" t="n"/>
      <c r="Q73" s="5">
        <f>IF(OR(O73="",P73=""),"",ROUND(O73-P73,2))</f>
        <v/>
      </c>
      <c r="R73" s="5">
        <f>IF(Q73="","",IF(Q73&gt;=Referencia!$B$8,"C","NC"))</f>
        <v/>
      </c>
      <c r="S73" s="3" t="n"/>
      <c r="T73" s="3" t="n"/>
      <c r="U73" s="3" t="n"/>
      <c r="V73" s="3" t="n"/>
      <c r="W73" s="3" t="n"/>
      <c r="X73" s="3" t="n"/>
      <c r="Y73" s="3" t="n"/>
      <c r="Z73" s="3" t="n"/>
      <c r="AA73" s="5">
        <f>IF(F73="","",(N73="NC")+(R73="NC")+(S73="Não")+(S73="Parcial")+(T73="Sim")+(U73="Sim")+(V73="Sim")+(W73="Sim")+(X73="Sim"))</f>
        <v/>
      </c>
      <c r="AB73" s="5">
        <f>IF(AA73="","",IF(AA73&gt;0,"Sim","Não"))</f>
        <v/>
      </c>
      <c r="AC73" s="3" t="n"/>
      <c r="AD73" s="3" t="n"/>
    </row>
    <row r="74">
      <c r="A74" s="3" t="n"/>
      <c r="B74" s="3" t="n"/>
      <c r="C74" s="4" t="n"/>
      <c r="D74" s="3" t="n"/>
      <c r="E74" s="3" t="n"/>
      <c r="F74" s="3" t="n"/>
      <c r="G74" s="3" t="n"/>
      <c r="H74" s="3" t="n"/>
      <c r="I74" s="3" t="n"/>
      <c r="J74" s="3" t="n"/>
      <c r="K74" s="3" t="n"/>
      <c r="L74" s="5">
        <f>IF(H74&lt;&gt;"",H74,IF(AND(I74&lt;&gt;"",J74&lt;&gt;""),ROUND(I74*TAN(RADIANS(J74))+IF(K74="",1.6,K74),2),""))</f>
        <v/>
      </c>
      <c r="M74" s="5">
        <f>IF(D74="","",IFERROR(IF(VLOOKUP(D74,Referencia!$A$2:$B$5,2,FALSE)="","",VLOOKUP(D74,Referencia!$A$2:$B$5,2,FALSE)),""))</f>
        <v/>
      </c>
      <c r="N74" s="5">
        <f>IF(OR(L74="",M74=""),"",IF(L74&gt;=M74,"C","NC"))</f>
        <v/>
      </c>
      <c r="O74" s="3" t="n"/>
      <c r="P74" s="3" t="n"/>
      <c r="Q74" s="5">
        <f>IF(OR(O74="",P74=""),"",ROUND(O74-P74,2))</f>
        <v/>
      </c>
      <c r="R74" s="5">
        <f>IF(Q74="","",IF(Q74&gt;=Referencia!$B$8,"C","NC"))</f>
        <v/>
      </c>
      <c r="S74" s="3" t="n"/>
      <c r="T74" s="3" t="n"/>
      <c r="U74" s="3" t="n"/>
      <c r="V74" s="3" t="n"/>
      <c r="W74" s="3" t="n"/>
      <c r="X74" s="3" t="n"/>
      <c r="Y74" s="3" t="n"/>
      <c r="Z74" s="3" t="n"/>
      <c r="AA74" s="5">
        <f>IF(F74="","",(N74="NC")+(R74="NC")+(S74="Não")+(S74="Parcial")+(T74="Sim")+(U74="Sim")+(V74="Sim")+(W74="Sim")+(X74="Sim"))</f>
        <v/>
      </c>
      <c r="AB74" s="5">
        <f>IF(AA74="","",IF(AA74&gt;0,"Sim","Não"))</f>
        <v/>
      </c>
      <c r="AC74" s="3" t="n"/>
      <c r="AD74" s="3" t="n"/>
    </row>
    <row r="75">
      <c r="A75" s="3" t="n"/>
      <c r="B75" s="3" t="n"/>
      <c r="C75" s="4" t="n"/>
      <c r="D75" s="3" t="n"/>
      <c r="E75" s="3" t="n"/>
      <c r="F75" s="3" t="n"/>
      <c r="G75" s="3" t="n"/>
      <c r="H75" s="3" t="n"/>
      <c r="I75" s="3" t="n"/>
      <c r="J75" s="3" t="n"/>
      <c r="K75" s="3" t="n"/>
      <c r="L75" s="5">
        <f>IF(H75&lt;&gt;"",H75,IF(AND(I75&lt;&gt;"",J75&lt;&gt;""),ROUND(I75*TAN(RADIANS(J75))+IF(K75="",1.6,K75),2),""))</f>
        <v/>
      </c>
      <c r="M75" s="5">
        <f>IF(D75="","",IFERROR(IF(VLOOKUP(D75,Referencia!$A$2:$B$5,2,FALSE)="","",VLOOKUP(D75,Referencia!$A$2:$B$5,2,FALSE)),""))</f>
        <v/>
      </c>
      <c r="N75" s="5">
        <f>IF(OR(L75="",M75=""),"",IF(L75&gt;=M75,"C","NC"))</f>
        <v/>
      </c>
      <c r="O75" s="3" t="n"/>
      <c r="P75" s="3" t="n"/>
      <c r="Q75" s="5">
        <f>IF(OR(O75="",P75=""),"",ROUND(O75-P75,2))</f>
        <v/>
      </c>
      <c r="R75" s="5">
        <f>IF(Q75="","",IF(Q75&gt;=Referencia!$B$8,"C","NC"))</f>
        <v/>
      </c>
      <c r="S75" s="3" t="n"/>
      <c r="T75" s="3" t="n"/>
      <c r="U75" s="3" t="n"/>
      <c r="V75" s="3" t="n"/>
      <c r="W75" s="3" t="n"/>
      <c r="X75" s="3" t="n"/>
      <c r="Y75" s="3" t="n"/>
      <c r="Z75" s="3" t="n"/>
      <c r="AA75" s="5">
        <f>IF(F75="","",(N75="NC")+(R75="NC")+(S75="Não")+(S75="Parcial")+(T75="Sim")+(U75="Sim")+(V75="Sim")+(W75="Sim")+(X75="Sim"))</f>
        <v/>
      </c>
      <c r="AB75" s="5">
        <f>IF(AA75="","",IF(AA75&gt;0,"Sim","Não"))</f>
        <v/>
      </c>
      <c r="AC75" s="3" t="n"/>
      <c r="AD75" s="3" t="n"/>
    </row>
    <row r="76">
      <c r="A76" s="3" t="n"/>
      <c r="B76" s="3" t="n"/>
      <c r="C76" s="4" t="n"/>
      <c r="D76" s="3" t="n"/>
      <c r="E76" s="3" t="n"/>
      <c r="F76" s="3" t="n"/>
      <c r="G76" s="3" t="n"/>
      <c r="H76" s="3" t="n"/>
      <c r="I76" s="3" t="n"/>
      <c r="J76" s="3" t="n"/>
      <c r="K76" s="3" t="n"/>
      <c r="L76" s="5">
        <f>IF(H76&lt;&gt;"",H76,IF(AND(I76&lt;&gt;"",J76&lt;&gt;""),ROUND(I76*TAN(RADIANS(J76))+IF(K76="",1.6,K76),2),""))</f>
        <v/>
      </c>
      <c r="M76" s="5">
        <f>IF(D76="","",IFERROR(IF(VLOOKUP(D76,Referencia!$A$2:$B$5,2,FALSE)="","",VLOOKUP(D76,Referencia!$A$2:$B$5,2,FALSE)),""))</f>
        <v/>
      </c>
      <c r="N76" s="5">
        <f>IF(OR(L76="",M76=""),"",IF(L76&gt;=M76,"C","NC"))</f>
        <v/>
      </c>
      <c r="O76" s="3" t="n"/>
      <c r="P76" s="3" t="n"/>
      <c r="Q76" s="5">
        <f>IF(OR(O76="",P76=""),"",ROUND(O76-P76,2))</f>
        <v/>
      </c>
      <c r="R76" s="5">
        <f>IF(Q76="","",IF(Q76&gt;=Referencia!$B$8,"C","NC"))</f>
        <v/>
      </c>
      <c r="S76" s="3" t="n"/>
      <c r="T76" s="3" t="n"/>
      <c r="U76" s="3" t="n"/>
      <c r="V76" s="3" t="n"/>
      <c r="W76" s="3" t="n"/>
      <c r="X76" s="3" t="n"/>
      <c r="Y76" s="3" t="n"/>
      <c r="Z76" s="3" t="n"/>
      <c r="AA76" s="5">
        <f>IF(F76="","",(N76="NC")+(R76="NC")+(S76="Não")+(S76="Parcial")+(T76="Sim")+(U76="Sim")+(V76="Sim")+(W76="Sim")+(X76="Sim"))</f>
        <v/>
      </c>
      <c r="AB76" s="5">
        <f>IF(AA76="","",IF(AA76&gt;0,"Sim","Não"))</f>
        <v/>
      </c>
      <c r="AC76" s="3" t="n"/>
      <c r="AD76" s="3" t="n"/>
    </row>
    <row r="77">
      <c r="A77" s="3" t="n"/>
      <c r="B77" s="3" t="n"/>
      <c r="C77" s="4" t="n"/>
      <c r="D77" s="3" t="n"/>
      <c r="E77" s="3" t="n"/>
      <c r="F77" s="3" t="n"/>
      <c r="G77" s="3" t="n"/>
      <c r="H77" s="3" t="n"/>
      <c r="I77" s="3" t="n"/>
      <c r="J77" s="3" t="n"/>
      <c r="K77" s="3" t="n"/>
      <c r="L77" s="5">
        <f>IF(H77&lt;&gt;"",H77,IF(AND(I77&lt;&gt;"",J77&lt;&gt;""),ROUND(I77*TAN(RADIANS(J77))+IF(K77="",1.6,K77),2),""))</f>
        <v/>
      </c>
      <c r="M77" s="5">
        <f>IF(D77="","",IFERROR(IF(VLOOKUP(D77,Referencia!$A$2:$B$5,2,FALSE)="","",VLOOKUP(D77,Referencia!$A$2:$B$5,2,FALSE)),""))</f>
        <v/>
      </c>
      <c r="N77" s="5">
        <f>IF(OR(L77="",M77=""),"",IF(L77&gt;=M77,"C","NC"))</f>
        <v/>
      </c>
      <c r="O77" s="3" t="n"/>
      <c r="P77" s="3" t="n"/>
      <c r="Q77" s="5">
        <f>IF(OR(O77="",P77=""),"",ROUND(O77-P77,2))</f>
        <v/>
      </c>
      <c r="R77" s="5">
        <f>IF(Q77="","",IF(Q77&gt;=Referencia!$B$8,"C","NC"))</f>
        <v/>
      </c>
      <c r="S77" s="3" t="n"/>
      <c r="T77" s="3" t="n"/>
      <c r="U77" s="3" t="n"/>
      <c r="V77" s="3" t="n"/>
      <c r="W77" s="3" t="n"/>
      <c r="X77" s="3" t="n"/>
      <c r="Y77" s="3" t="n"/>
      <c r="Z77" s="3" t="n"/>
      <c r="AA77" s="5">
        <f>IF(F77="","",(N77="NC")+(R77="NC")+(S77="Não")+(S77="Parcial")+(T77="Sim")+(U77="Sim")+(V77="Sim")+(W77="Sim")+(X77="Sim"))</f>
        <v/>
      </c>
      <c r="AB77" s="5">
        <f>IF(AA77="","",IF(AA77&gt;0,"Sim","Não"))</f>
        <v/>
      </c>
      <c r="AC77" s="3" t="n"/>
      <c r="AD77" s="3" t="n"/>
    </row>
    <row r="78">
      <c r="A78" s="3" t="n"/>
      <c r="B78" s="3" t="n"/>
      <c r="C78" s="4" t="n"/>
      <c r="D78" s="3" t="n"/>
      <c r="E78" s="3" t="n"/>
      <c r="F78" s="3" t="n"/>
      <c r="G78" s="3" t="n"/>
      <c r="H78" s="3" t="n"/>
      <c r="I78" s="3" t="n"/>
      <c r="J78" s="3" t="n"/>
      <c r="K78" s="3" t="n"/>
      <c r="L78" s="5">
        <f>IF(H78&lt;&gt;"",H78,IF(AND(I78&lt;&gt;"",J78&lt;&gt;""),ROUND(I78*TAN(RADIANS(J78))+IF(K78="",1.6,K78),2),""))</f>
        <v/>
      </c>
      <c r="M78" s="5">
        <f>IF(D78="","",IFERROR(IF(VLOOKUP(D78,Referencia!$A$2:$B$5,2,FALSE)="","",VLOOKUP(D78,Referencia!$A$2:$B$5,2,FALSE)),""))</f>
        <v/>
      </c>
      <c r="N78" s="5">
        <f>IF(OR(L78="",M78=""),"",IF(L78&gt;=M78,"C","NC"))</f>
        <v/>
      </c>
      <c r="O78" s="3" t="n"/>
      <c r="P78" s="3" t="n"/>
      <c r="Q78" s="5">
        <f>IF(OR(O78="",P78=""),"",ROUND(O78-P78,2))</f>
        <v/>
      </c>
      <c r="R78" s="5">
        <f>IF(Q78="","",IF(Q78&gt;=Referencia!$B$8,"C","NC"))</f>
        <v/>
      </c>
      <c r="S78" s="3" t="n"/>
      <c r="T78" s="3" t="n"/>
      <c r="U78" s="3" t="n"/>
      <c r="V78" s="3" t="n"/>
      <c r="W78" s="3" t="n"/>
      <c r="X78" s="3" t="n"/>
      <c r="Y78" s="3" t="n"/>
      <c r="Z78" s="3" t="n"/>
      <c r="AA78" s="5">
        <f>IF(F78="","",(N78="NC")+(R78="NC")+(S78="Não")+(S78="Parcial")+(T78="Sim")+(U78="Sim")+(V78="Sim")+(W78="Sim")+(X78="Sim"))</f>
        <v/>
      </c>
      <c r="AB78" s="5">
        <f>IF(AA78="","",IF(AA78&gt;0,"Sim","Não"))</f>
        <v/>
      </c>
      <c r="AC78" s="3" t="n"/>
      <c r="AD78" s="3" t="n"/>
    </row>
    <row r="79">
      <c r="A79" s="3" t="n"/>
      <c r="B79" s="3" t="n"/>
      <c r="C79" s="4" t="n"/>
      <c r="D79" s="3" t="n"/>
      <c r="E79" s="3" t="n"/>
      <c r="F79" s="3" t="n"/>
      <c r="G79" s="3" t="n"/>
      <c r="H79" s="3" t="n"/>
      <c r="I79" s="3" t="n"/>
      <c r="J79" s="3" t="n"/>
      <c r="K79" s="3" t="n"/>
      <c r="L79" s="5">
        <f>IF(H79&lt;&gt;"",H79,IF(AND(I79&lt;&gt;"",J79&lt;&gt;""),ROUND(I79*TAN(RADIANS(J79))+IF(K79="",1.6,K79),2),""))</f>
        <v/>
      </c>
      <c r="M79" s="5">
        <f>IF(D79="","",IFERROR(IF(VLOOKUP(D79,Referencia!$A$2:$B$5,2,FALSE)="","",VLOOKUP(D79,Referencia!$A$2:$B$5,2,FALSE)),""))</f>
        <v/>
      </c>
      <c r="N79" s="5">
        <f>IF(OR(L79="",M79=""),"",IF(L79&gt;=M79,"C","NC"))</f>
        <v/>
      </c>
      <c r="O79" s="3" t="n"/>
      <c r="P79" s="3" t="n"/>
      <c r="Q79" s="5">
        <f>IF(OR(O79="",P79=""),"",ROUND(O79-P79,2))</f>
        <v/>
      </c>
      <c r="R79" s="5">
        <f>IF(Q79="","",IF(Q79&gt;=Referencia!$B$8,"C","NC"))</f>
        <v/>
      </c>
      <c r="S79" s="3" t="n"/>
      <c r="T79" s="3" t="n"/>
      <c r="U79" s="3" t="n"/>
      <c r="V79" s="3" t="n"/>
      <c r="W79" s="3" t="n"/>
      <c r="X79" s="3" t="n"/>
      <c r="Y79" s="3" t="n"/>
      <c r="Z79" s="3" t="n"/>
      <c r="AA79" s="5">
        <f>IF(F79="","",(N79="NC")+(R79="NC")+(S79="Não")+(S79="Parcial")+(T79="Sim")+(U79="Sim")+(V79="Sim")+(W79="Sim")+(X79="Sim"))</f>
        <v/>
      </c>
      <c r="AB79" s="5">
        <f>IF(AA79="","",IF(AA79&gt;0,"Sim","Não"))</f>
        <v/>
      </c>
      <c r="AC79" s="3" t="n"/>
      <c r="AD79" s="3" t="n"/>
    </row>
    <row r="80">
      <c r="A80" s="3" t="n"/>
      <c r="B80" s="3" t="n"/>
      <c r="C80" s="4" t="n"/>
      <c r="D80" s="3" t="n"/>
      <c r="E80" s="3" t="n"/>
      <c r="F80" s="3" t="n"/>
      <c r="G80" s="3" t="n"/>
      <c r="H80" s="3" t="n"/>
      <c r="I80" s="3" t="n"/>
      <c r="J80" s="3" t="n"/>
      <c r="K80" s="3" t="n"/>
      <c r="L80" s="5">
        <f>IF(H80&lt;&gt;"",H80,IF(AND(I80&lt;&gt;"",J80&lt;&gt;""),ROUND(I80*TAN(RADIANS(J80))+IF(K80="",1.6,K80),2),""))</f>
        <v/>
      </c>
      <c r="M80" s="5">
        <f>IF(D80="","",IFERROR(IF(VLOOKUP(D80,Referencia!$A$2:$B$5,2,FALSE)="","",VLOOKUP(D80,Referencia!$A$2:$B$5,2,FALSE)),""))</f>
        <v/>
      </c>
      <c r="N80" s="5">
        <f>IF(OR(L80="",M80=""),"",IF(L80&gt;=M80,"C","NC"))</f>
        <v/>
      </c>
      <c r="O80" s="3" t="n"/>
      <c r="P80" s="3" t="n"/>
      <c r="Q80" s="5">
        <f>IF(OR(O80="",P80=""),"",ROUND(O80-P80,2))</f>
        <v/>
      </c>
      <c r="R80" s="5">
        <f>IF(Q80="","",IF(Q80&gt;=Referencia!$B$8,"C","NC"))</f>
        <v/>
      </c>
      <c r="S80" s="3" t="n"/>
      <c r="T80" s="3" t="n"/>
      <c r="U80" s="3" t="n"/>
      <c r="V80" s="3" t="n"/>
      <c r="W80" s="3" t="n"/>
      <c r="X80" s="3" t="n"/>
      <c r="Y80" s="3" t="n"/>
      <c r="Z80" s="3" t="n"/>
      <c r="AA80" s="5">
        <f>IF(F80="","",(N80="NC")+(R80="NC")+(S80="Não")+(S80="Parcial")+(T80="Sim")+(U80="Sim")+(V80="Sim")+(W80="Sim")+(X80="Sim"))</f>
        <v/>
      </c>
      <c r="AB80" s="5">
        <f>IF(AA80="","",IF(AA80&gt;0,"Sim","Não"))</f>
        <v/>
      </c>
      <c r="AC80" s="3" t="n"/>
      <c r="AD80" s="3" t="n"/>
    </row>
    <row r="81">
      <c r="A81" s="3" t="n"/>
      <c r="B81" s="3" t="n"/>
      <c r="C81" s="4" t="n"/>
      <c r="D81" s="3" t="n"/>
      <c r="E81" s="3" t="n"/>
      <c r="F81" s="3" t="n"/>
      <c r="G81" s="3" t="n"/>
      <c r="H81" s="3" t="n"/>
      <c r="I81" s="3" t="n"/>
      <c r="J81" s="3" t="n"/>
      <c r="K81" s="3" t="n"/>
      <c r="L81" s="5">
        <f>IF(H81&lt;&gt;"",H81,IF(AND(I81&lt;&gt;"",J81&lt;&gt;""),ROUND(I81*TAN(RADIANS(J81))+IF(K81="",1.6,K81),2),""))</f>
        <v/>
      </c>
      <c r="M81" s="5">
        <f>IF(D81="","",IFERROR(IF(VLOOKUP(D81,Referencia!$A$2:$B$5,2,FALSE)="","",VLOOKUP(D81,Referencia!$A$2:$B$5,2,FALSE)),""))</f>
        <v/>
      </c>
      <c r="N81" s="5">
        <f>IF(OR(L81="",M81=""),"",IF(L81&gt;=M81,"C","NC"))</f>
        <v/>
      </c>
      <c r="O81" s="3" t="n"/>
      <c r="P81" s="3" t="n"/>
      <c r="Q81" s="5">
        <f>IF(OR(O81="",P81=""),"",ROUND(O81-P81,2))</f>
        <v/>
      </c>
      <c r="R81" s="5">
        <f>IF(Q81="","",IF(Q81&gt;=Referencia!$B$8,"C","NC"))</f>
        <v/>
      </c>
      <c r="S81" s="3" t="n"/>
      <c r="T81" s="3" t="n"/>
      <c r="U81" s="3" t="n"/>
      <c r="V81" s="3" t="n"/>
      <c r="W81" s="3" t="n"/>
      <c r="X81" s="3" t="n"/>
      <c r="Y81" s="3" t="n"/>
      <c r="Z81" s="3" t="n"/>
      <c r="AA81" s="5">
        <f>IF(F81="","",(N81="NC")+(R81="NC")+(S81="Não")+(S81="Parcial")+(T81="Sim")+(U81="Sim")+(V81="Sim")+(W81="Sim")+(X81="Sim"))</f>
        <v/>
      </c>
      <c r="AB81" s="5">
        <f>IF(AA81="","",IF(AA81&gt;0,"Sim","Não"))</f>
        <v/>
      </c>
      <c r="AC81" s="3" t="n"/>
      <c r="AD81" s="3" t="n"/>
    </row>
    <row r="82">
      <c r="A82" s="3" t="n"/>
      <c r="B82" s="3" t="n"/>
      <c r="C82" s="4" t="n"/>
      <c r="D82" s="3" t="n"/>
      <c r="E82" s="3" t="n"/>
      <c r="F82" s="3" t="n"/>
      <c r="G82" s="3" t="n"/>
      <c r="H82" s="3" t="n"/>
      <c r="I82" s="3" t="n"/>
      <c r="J82" s="3" t="n"/>
      <c r="K82" s="3" t="n"/>
      <c r="L82" s="5">
        <f>IF(H82&lt;&gt;"",H82,IF(AND(I82&lt;&gt;"",J82&lt;&gt;""),ROUND(I82*TAN(RADIANS(J82))+IF(K82="",1.6,K82),2),""))</f>
        <v/>
      </c>
      <c r="M82" s="5">
        <f>IF(D82="","",IFERROR(IF(VLOOKUP(D82,Referencia!$A$2:$B$5,2,FALSE)="","",VLOOKUP(D82,Referencia!$A$2:$B$5,2,FALSE)),""))</f>
        <v/>
      </c>
      <c r="N82" s="5">
        <f>IF(OR(L82="",M82=""),"",IF(L82&gt;=M82,"C","NC"))</f>
        <v/>
      </c>
      <c r="O82" s="3" t="n"/>
      <c r="P82" s="3" t="n"/>
      <c r="Q82" s="5">
        <f>IF(OR(O82="",P82=""),"",ROUND(O82-P82,2))</f>
        <v/>
      </c>
      <c r="R82" s="5">
        <f>IF(Q82="","",IF(Q82&gt;=Referencia!$B$8,"C","NC"))</f>
        <v/>
      </c>
      <c r="S82" s="3" t="n"/>
      <c r="T82" s="3" t="n"/>
      <c r="U82" s="3" t="n"/>
      <c r="V82" s="3" t="n"/>
      <c r="W82" s="3" t="n"/>
      <c r="X82" s="3" t="n"/>
      <c r="Y82" s="3" t="n"/>
      <c r="Z82" s="3" t="n"/>
      <c r="AA82" s="5">
        <f>IF(F82="","",(N82="NC")+(R82="NC")+(S82="Não")+(S82="Parcial")+(T82="Sim")+(U82="Sim")+(V82="Sim")+(W82="Sim")+(X82="Sim"))</f>
        <v/>
      </c>
      <c r="AB82" s="5">
        <f>IF(AA82="","",IF(AA82&gt;0,"Sim","Não"))</f>
        <v/>
      </c>
      <c r="AC82" s="3" t="n"/>
      <c r="AD82" s="3" t="n"/>
    </row>
    <row r="83">
      <c r="A83" s="3" t="n"/>
      <c r="B83" s="3" t="n"/>
      <c r="C83" s="4" t="n"/>
      <c r="D83" s="3" t="n"/>
      <c r="E83" s="3" t="n"/>
      <c r="F83" s="3" t="n"/>
      <c r="G83" s="3" t="n"/>
      <c r="H83" s="3" t="n"/>
      <c r="I83" s="3" t="n"/>
      <c r="J83" s="3" t="n"/>
      <c r="K83" s="3" t="n"/>
      <c r="L83" s="5">
        <f>IF(H83&lt;&gt;"",H83,IF(AND(I83&lt;&gt;"",J83&lt;&gt;""),ROUND(I83*TAN(RADIANS(J83))+IF(K83="",1.6,K83),2),""))</f>
        <v/>
      </c>
      <c r="M83" s="5">
        <f>IF(D83="","",IFERROR(IF(VLOOKUP(D83,Referencia!$A$2:$B$5,2,FALSE)="","",VLOOKUP(D83,Referencia!$A$2:$B$5,2,FALSE)),""))</f>
        <v/>
      </c>
      <c r="N83" s="5">
        <f>IF(OR(L83="",M83=""),"",IF(L83&gt;=M83,"C","NC"))</f>
        <v/>
      </c>
      <c r="O83" s="3" t="n"/>
      <c r="P83" s="3" t="n"/>
      <c r="Q83" s="5">
        <f>IF(OR(O83="",P83=""),"",ROUND(O83-P83,2))</f>
        <v/>
      </c>
      <c r="R83" s="5">
        <f>IF(Q83="","",IF(Q83&gt;=Referencia!$B$8,"C","NC"))</f>
        <v/>
      </c>
      <c r="S83" s="3" t="n"/>
      <c r="T83" s="3" t="n"/>
      <c r="U83" s="3" t="n"/>
      <c r="V83" s="3" t="n"/>
      <c r="W83" s="3" t="n"/>
      <c r="X83" s="3" t="n"/>
      <c r="Y83" s="3" t="n"/>
      <c r="Z83" s="3" t="n"/>
      <c r="AA83" s="5">
        <f>IF(F83="","",(N83="NC")+(R83="NC")+(S83="Não")+(S83="Parcial")+(T83="Sim")+(U83="Sim")+(V83="Sim")+(W83="Sim")+(X83="Sim"))</f>
        <v/>
      </c>
      <c r="AB83" s="5">
        <f>IF(AA83="","",IF(AA83&gt;0,"Sim","Não"))</f>
        <v/>
      </c>
      <c r="AC83" s="3" t="n"/>
      <c r="AD83" s="3" t="n"/>
    </row>
    <row r="84">
      <c r="A84" s="3" t="n"/>
      <c r="B84" s="3" t="n"/>
      <c r="C84" s="4" t="n"/>
      <c r="D84" s="3" t="n"/>
      <c r="E84" s="3" t="n"/>
      <c r="F84" s="3" t="n"/>
      <c r="G84" s="3" t="n"/>
      <c r="H84" s="3" t="n"/>
      <c r="I84" s="3" t="n"/>
      <c r="J84" s="3" t="n"/>
      <c r="K84" s="3" t="n"/>
      <c r="L84" s="5">
        <f>IF(H84&lt;&gt;"",H84,IF(AND(I84&lt;&gt;"",J84&lt;&gt;""),ROUND(I84*TAN(RADIANS(J84))+IF(K84="",1.6,K84),2),""))</f>
        <v/>
      </c>
      <c r="M84" s="5">
        <f>IF(D84="","",IFERROR(IF(VLOOKUP(D84,Referencia!$A$2:$B$5,2,FALSE)="","",VLOOKUP(D84,Referencia!$A$2:$B$5,2,FALSE)),""))</f>
        <v/>
      </c>
      <c r="N84" s="5">
        <f>IF(OR(L84="",M84=""),"",IF(L84&gt;=M84,"C","NC"))</f>
        <v/>
      </c>
      <c r="O84" s="3" t="n"/>
      <c r="P84" s="3" t="n"/>
      <c r="Q84" s="5">
        <f>IF(OR(O84="",P84=""),"",ROUND(O84-P84,2))</f>
        <v/>
      </c>
      <c r="R84" s="5">
        <f>IF(Q84="","",IF(Q84&gt;=Referencia!$B$8,"C","NC"))</f>
        <v/>
      </c>
      <c r="S84" s="3" t="n"/>
      <c r="T84" s="3" t="n"/>
      <c r="U84" s="3" t="n"/>
      <c r="V84" s="3" t="n"/>
      <c r="W84" s="3" t="n"/>
      <c r="X84" s="3" t="n"/>
      <c r="Y84" s="3" t="n"/>
      <c r="Z84" s="3" t="n"/>
      <c r="AA84" s="5">
        <f>IF(F84="","",(N84="NC")+(R84="NC")+(S84="Não")+(S84="Parcial")+(T84="Sim")+(U84="Sim")+(V84="Sim")+(W84="Sim")+(X84="Sim"))</f>
        <v/>
      </c>
      <c r="AB84" s="5">
        <f>IF(AA84="","",IF(AA84&gt;0,"Sim","Não"))</f>
        <v/>
      </c>
      <c r="AC84" s="3" t="n"/>
      <c r="AD84" s="3" t="n"/>
    </row>
    <row r="85">
      <c r="A85" s="3" t="n"/>
      <c r="B85" s="3" t="n"/>
      <c r="C85" s="4" t="n"/>
      <c r="D85" s="3" t="n"/>
      <c r="E85" s="3" t="n"/>
      <c r="F85" s="3" t="n"/>
      <c r="G85" s="3" t="n"/>
      <c r="H85" s="3" t="n"/>
      <c r="I85" s="3" t="n"/>
      <c r="J85" s="3" t="n"/>
      <c r="K85" s="3" t="n"/>
      <c r="L85" s="5">
        <f>IF(H85&lt;&gt;"",H85,IF(AND(I85&lt;&gt;"",J85&lt;&gt;""),ROUND(I85*TAN(RADIANS(J85))+IF(K85="",1.6,K85),2),""))</f>
        <v/>
      </c>
      <c r="M85" s="5">
        <f>IF(D85="","",IFERROR(IF(VLOOKUP(D85,Referencia!$A$2:$B$5,2,FALSE)="","",VLOOKUP(D85,Referencia!$A$2:$B$5,2,FALSE)),""))</f>
        <v/>
      </c>
      <c r="N85" s="5">
        <f>IF(OR(L85="",M85=""),"",IF(L85&gt;=M85,"C","NC"))</f>
        <v/>
      </c>
      <c r="O85" s="3" t="n"/>
      <c r="P85" s="3" t="n"/>
      <c r="Q85" s="5">
        <f>IF(OR(O85="",P85=""),"",ROUND(O85-P85,2))</f>
        <v/>
      </c>
      <c r="R85" s="5">
        <f>IF(Q85="","",IF(Q85&gt;=Referencia!$B$8,"C","NC"))</f>
        <v/>
      </c>
      <c r="S85" s="3" t="n"/>
      <c r="T85" s="3" t="n"/>
      <c r="U85" s="3" t="n"/>
      <c r="V85" s="3" t="n"/>
      <c r="W85" s="3" t="n"/>
      <c r="X85" s="3" t="n"/>
      <c r="Y85" s="3" t="n"/>
      <c r="Z85" s="3" t="n"/>
      <c r="AA85" s="5">
        <f>IF(F85="","",(N85="NC")+(R85="NC")+(S85="Não")+(S85="Parcial")+(T85="Sim")+(U85="Sim")+(V85="Sim")+(W85="Sim")+(X85="Sim"))</f>
        <v/>
      </c>
      <c r="AB85" s="5">
        <f>IF(AA85="","",IF(AA85&gt;0,"Sim","Não"))</f>
        <v/>
      </c>
      <c r="AC85" s="3" t="n"/>
      <c r="AD85" s="3" t="n"/>
    </row>
    <row r="86">
      <c r="A86" s="3" t="n"/>
      <c r="B86" s="3" t="n"/>
      <c r="C86" s="4" t="n"/>
      <c r="D86" s="3" t="n"/>
      <c r="E86" s="3" t="n"/>
      <c r="F86" s="3" t="n"/>
      <c r="G86" s="3" t="n"/>
      <c r="H86" s="3" t="n"/>
      <c r="I86" s="3" t="n"/>
      <c r="J86" s="3" t="n"/>
      <c r="K86" s="3" t="n"/>
      <c r="L86" s="5">
        <f>IF(H86&lt;&gt;"",H86,IF(AND(I86&lt;&gt;"",J86&lt;&gt;""),ROUND(I86*TAN(RADIANS(J86))+IF(K86="",1.6,K86),2),""))</f>
        <v/>
      </c>
      <c r="M86" s="5">
        <f>IF(D86="","",IFERROR(IF(VLOOKUP(D86,Referencia!$A$2:$B$5,2,FALSE)="","",VLOOKUP(D86,Referencia!$A$2:$B$5,2,FALSE)),""))</f>
        <v/>
      </c>
      <c r="N86" s="5">
        <f>IF(OR(L86="",M86=""),"",IF(L86&gt;=M86,"C","NC"))</f>
        <v/>
      </c>
      <c r="O86" s="3" t="n"/>
      <c r="P86" s="3" t="n"/>
      <c r="Q86" s="5">
        <f>IF(OR(O86="",P86=""),"",ROUND(O86-P86,2))</f>
        <v/>
      </c>
      <c r="R86" s="5">
        <f>IF(Q86="","",IF(Q86&gt;=Referencia!$B$8,"C","NC"))</f>
        <v/>
      </c>
      <c r="S86" s="3" t="n"/>
      <c r="T86" s="3" t="n"/>
      <c r="U86" s="3" t="n"/>
      <c r="V86" s="3" t="n"/>
      <c r="W86" s="3" t="n"/>
      <c r="X86" s="3" t="n"/>
      <c r="Y86" s="3" t="n"/>
      <c r="Z86" s="3" t="n"/>
      <c r="AA86" s="5">
        <f>IF(F86="","",(N86="NC")+(R86="NC")+(S86="Não")+(S86="Parcial")+(T86="Sim")+(U86="Sim")+(V86="Sim")+(W86="Sim")+(X86="Sim"))</f>
        <v/>
      </c>
      <c r="AB86" s="5">
        <f>IF(AA86="","",IF(AA86&gt;0,"Sim","Não"))</f>
        <v/>
      </c>
      <c r="AC86" s="3" t="n"/>
      <c r="AD86" s="3" t="n"/>
    </row>
    <row r="87">
      <c r="A87" s="3" t="n"/>
      <c r="B87" s="3" t="n"/>
      <c r="C87" s="4" t="n"/>
      <c r="D87" s="3" t="n"/>
      <c r="E87" s="3" t="n"/>
      <c r="F87" s="3" t="n"/>
      <c r="G87" s="3" t="n"/>
      <c r="H87" s="3" t="n"/>
      <c r="I87" s="3" t="n"/>
      <c r="J87" s="3" t="n"/>
      <c r="K87" s="3" t="n"/>
      <c r="L87" s="5">
        <f>IF(H87&lt;&gt;"",H87,IF(AND(I87&lt;&gt;"",J87&lt;&gt;""),ROUND(I87*TAN(RADIANS(J87))+IF(K87="",1.6,K87),2),""))</f>
        <v/>
      </c>
      <c r="M87" s="5">
        <f>IF(D87="","",IFERROR(IF(VLOOKUP(D87,Referencia!$A$2:$B$5,2,FALSE)="","",VLOOKUP(D87,Referencia!$A$2:$B$5,2,FALSE)),""))</f>
        <v/>
      </c>
      <c r="N87" s="5">
        <f>IF(OR(L87="",M87=""),"",IF(L87&gt;=M87,"C","NC"))</f>
        <v/>
      </c>
      <c r="O87" s="3" t="n"/>
      <c r="P87" s="3" t="n"/>
      <c r="Q87" s="5">
        <f>IF(OR(O87="",P87=""),"",ROUND(O87-P87,2))</f>
        <v/>
      </c>
      <c r="R87" s="5">
        <f>IF(Q87="","",IF(Q87&gt;=Referencia!$B$8,"C","NC"))</f>
        <v/>
      </c>
      <c r="S87" s="3" t="n"/>
      <c r="T87" s="3" t="n"/>
      <c r="U87" s="3" t="n"/>
      <c r="V87" s="3" t="n"/>
      <c r="W87" s="3" t="n"/>
      <c r="X87" s="3" t="n"/>
      <c r="Y87" s="3" t="n"/>
      <c r="Z87" s="3" t="n"/>
      <c r="AA87" s="5">
        <f>IF(F87="","",(N87="NC")+(R87="NC")+(S87="Não")+(S87="Parcial")+(T87="Sim")+(U87="Sim")+(V87="Sim")+(W87="Sim")+(X87="Sim"))</f>
        <v/>
      </c>
      <c r="AB87" s="5">
        <f>IF(AA87="","",IF(AA87&gt;0,"Sim","Não"))</f>
        <v/>
      </c>
      <c r="AC87" s="3" t="n"/>
      <c r="AD87" s="3" t="n"/>
    </row>
    <row r="88">
      <c r="A88" s="3" t="n"/>
      <c r="B88" s="3" t="n"/>
      <c r="C88" s="4" t="n"/>
      <c r="D88" s="3" t="n"/>
      <c r="E88" s="3" t="n"/>
      <c r="F88" s="3" t="n"/>
      <c r="G88" s="3" t="n"/>
      <c r="H88" s="3" t="n"/>
      <c r="I88" s="3" t="n"/>
      <c r="J88" s="3" t="n"/>
      <c r="K88" s="3" t="n"/>
      <c r="L88" s="5">
        <f>IF(H88&lt;&gt;"",H88,IF(AND(I88&lt;&gt;"",J88&lt;&gt;""),ROUND(I88*TAN(RADIANS(J88))+IF(K88="",1.6,K88),2),""))</f>
        <v/>
      </c>
      <c r="M88" s="5">
        <f>IF(D88="","",IFERROR(IF(VLOOKUP(D88,Referencia!$A$2:$B$5,2,FALSE)="","",VLOOKUP(D88,Referencia!$A$2:$B$5,2,FALSE)),""))</f>
        <v/>
      </c>
      <c r="N88" s="5">
        <f>IF(OR(L88="",M88=""),"",IF(L88&gt;=M88,"C","NC"))</f>
        <v/>
      </c>
      <c r="O88" s="3" t="n"/>
      <c r="P88" s="3" t="n"/>
      <c r="Q88" s="5">
        <f>IF(OR(O88="",P88=""),"",ROUND(O88-P88,2))</f>
        <v/>
      </c>
      <c r="R88" s="5">
        <f>IF(Q88="","",IF(Q88&gt;=Referencia!$B$8,"C","NC"))</f>
        <v/>
      </c>
      <c r="S88" s="3" t="n"/>
      <c r="T88" s="3" t="n"/>
      <c r="U88" s="3" t="n"/>
      <c r="V88" s="3" t="n"/>
      <c r="W88" s="3" t="n"/>
      <c r="X88" s="3" t="n"/>
      <c r="Y88" s="3" t="n"/>
      <c r="Z88" s="3" t="n"/>
      <c r="AA88" s="5">
        <f>IF(F88="","",(N88="NC")+(R88="NC")+(S88="Não")+(S88="Parcial")+(T88="Sim")+(U88="Sim")+(V88="Sim")+(W88="Sim")+(X88="Sim"))</f>
        <v/>
      </c>
      <c r="AB88" s="5">
        <f>IF(AA88="","",IF(AA88&gt;0,"Sim","Não"))</f>
        <v/>
      </c>
      <c r="AC88" s="3" t="n"/>
      <c r="AD88" s="3" t="n"/>
    </row>
    <row r="89">
      <c r="A89" s="3" t="n"/>
      <c r="B89" s="3" t="n"/>
      <c r="C89" s="4" t="n"/>
      <c r="D89" s="3" t="n"/>
      <c r="E89" s="3" t="n"/>
      <c r="F89" s="3" t="n"/>
      <c r="G89" s="3" t="n"/>
      <c r="H89" s="3" t="n"/>
      <c r="I89" s="3" t="n"/>
      <c r="J89" s="3" t="n"/>
      <c r="K89" s="3" t="n"/>
      <c r="L89" s="5">
        <f>IF(H89&lt;&gt;"",H89,IF(AND(I89&lt;&gt;"",J89&lt;&gt;""),ROUND(I89*TAN(RADIANS(J89))+IF(K89="",1.6,K89),2),""))</f>
        <v/>
      </c>
      <c r="M89" s="5">
        <f>IF(D89="","",IFERROR(IF(VLOOKUP(D89,Referencia!$A$2:$B$5,2,FALSE)="","",VLOOKUP(D89,Referencia!$A$2:$B$5,2,FALSE)),""))</f>
        <v/>
      </c>
      <c r="N89" s="5">
        <f>IF(OR(L89="",M89=""),"",IF(L89&gt;=M89,"C","NC"))</f>
        <v/>
      </c>
      <c r="O89" s="3" t="n"/>
      <c r="P89" s="3" t="n"/>
      <c r="Q89" s="5">
        <f>IF(OR(O89="",P89=""),"",ROUND(O89-P89,2))</f>
        <v/>
      </c>
      <c r="R89" s="5">
        <f>IF(Q89="","",IF(Q89&gt;=Referencia!$B$8,"C","NC"))</f>
        <v/>
      </c>
      <c r="S89" s="3" t="n"/>
      <c r="T89" s="3" t="n"/>
      <c r="U89" s="3" t="n"/>
      <c r="V89" s="3" t="n"/>
      <c r="W89" s="3" t="n"/>
      <c r="X89" s="3" t="n"/>
      <c r="Y89" s="3" t="n"/>
      <c r="Z89" s="3" t="n"/>
      <c r="AA89" s="5">
        <f>IF(F89="","",(N89="NC")+(R89="NC")+(S89="Não")+(S89="Parcial")+(T89="Sim")+(U89="Sim")+(V89="Sim")+(W89="Sim")+(X89="Sim"))</f>
        <v/>
      </c>
      <c r="AB89" s="5">
        <f>IF(AA89="","",IF(AA89&gt;0,"Sim","Não"))</f>
        <v/>
      </c>
      <c r="AC89" s="3" t="n"/>
      <c r="AD89" s="3" t="n"/>
    </row>
    <row r="90">
      <c r="A90" s="3" t="n"/>
      <c r="B90" s="3" t="n"/>
      <c r="C90" s="4" t="n"/>
      <c r="D90" s="3" t="n"/>
      <c r="E90" s="3" t="n"/>
      <c r="F90" s="3" t="n"/>
      <c r="G90" s="3" t="n"/>
      <c r="H90" s="3" t="n"/>
      <c r="I90" s="3" t="n"/>
      <c r="J90" s="3" t="n"/>
      <c r="K90" s="3" t="n"/>
      <c r="L90" s="5">
        <f>IF(H90&lt;&gt;"",H90,IF(AND(I90&lt;&gt;"",J90&lt;&gt;""),ROUND(I90*TAN(RADIANS(J90))+IF(K90="",1.6,K90),2),""))</f>
        <v/>
      </c>
      <c r="M90" s="5">
        <f>IF(D90="","",IFERROR(IF(VLOOKUP(D90,Referencia!$A$2:$B$5,2,FALSE)="","",VLOOKUP(D90,Referencia!$A$2:$B$5,2,FALSE)),""))</f>
        <v/>
      </c>
      <c r="N90" s="5">
        <f>IF(OR(L90="",M90=""),"",IF(L90&gt;=M90,"C","NC"))</f>
        <v/>
      </c>
      <c r="O90" s="3" t="n"/>
      <c r="P90" s="3" t="n"/>
      <c r="Q90" s="5">
        <f>IF(OR(O90="",P90=""),"",ROUND(O90-P90,2))</f>
        <v/>
      </c>
      <c r="R90" s="5">
        <f>IF(Q90="","",IF(Q90&gt;=Referencia!$B$8,"C","NC"))</f>
        <v/>
      </c>
      <c r="S90" s="3" t="n"/>
      <c r="T90" s="3" t="n"/>
      <c r="U90" s="3" t="n"/>
      <c r="V90" s="3" t="n"/>
      <c r="W90" s="3" t="n"/>
      <c r="X90" s="3" t="n"/>
      <c r="Y90" s="3" t="n"/>
      <c r="Z90" s="3" t="n"/>
      <c r="AA90" s="5">
        <f>IF(F90="","",(N90="NC")+(R90="NC")+(S90="Não")+(S90="Parcial")+(T90="Sim")+(U90="Sim")+(V90="Sim")+(W90="Sim")+(X90="Sim"))</f>
        <v/>
      </c>
      <c r="AB90" s="5">
        <f>IF(AA90="","",IF(AA90&gt;0,"Sim","Não"))</f>
        <v/>
      </c>
      <c r="AC90" s="3" t="n"/>
      <c r="AD90" s="3" t="n"/>
    </row>
    <row r="91">
      <c r="A91" s="3" t="n"/>
      <c r="B91" s="3" t="n"/>
      <c r="C91" s="4" t="n"/>
      <c r="D91" s="3" t="n"/>
      <c r="E91" s="3" t="n"/>
      <c r="F91" s="3" t="n"/>
      <c r="G91" s="3" t="n"/>
      <c r="H91" s="3" t="n"/>
      <c r="I91" s="3" t="n"/>
      <c r="J91" s="3" t="n"/>
      <c r="K91" s="3" t="n"/>
      <c r="L91" s="5">
        <f>IF(H91&lt;&gt;"",H91,IF(AND(I91&lt;&gt;"",J91&lt;&gt;""),ROUND(I91*TAN(RADIANS(J91))+IF(K91="",1.6,K91),2),""))</f>
        <v/>
      </c>
      <c r="M91" s="5">
        <f>IF(D91="","",IFERROR(IF(VLOOKUP(D91,Referencia!$A$2:$B$5,2,FALSE)="","",VLOOKUP(D91,Referencia!$A$2:$B$5,2,FALSE)),""))</f>
        <v/>
      </c>
      <c r="N91" s="5">
        <f>IF(OR(L91="",M91=""),"",IF(L91&gt;=M91,"C","NC"))</f>
        <v/>
      </c>
      <c r="O91" s="3" t="n"/>
      <c r="P91" s="3" t="n"/>
      <c r="Q91" s="5">
        <f>IF(OR(O91="",P91=""),"",ROUND(O91-P91,2))</f>
        <v/>
      </c>
      <c r="R91" s="5">
        <f>IF(Q91="","",IF(Q91&gt;=Referencia!$B$8,"C","NC"))</f>
        <v/>
      </c>
      <c r="S91" s="3" t="n"/>
      <c r="T91" s="3" t="n"/>
      <c r="U91" s="3" t="n"/>
      <c r="V91" s="3" t="n"/>
      <c r="W91" s="3" t="n"/>
      <c r="X91" s="3" t="n"/>
      <c r="Y91" s="3" t="n"/>
      <c r="Z91" s="3" t="n"/>
      <c r="AA91" s="5">
        <f>IF(F91="","",(N91="NC")+(R91="NC")+(S91="Não")+(S91="Parcial")+(T91="Sim")+(U91="Sim")+(V91="Sim")+(W91="Sim")+(X91="Sim"))</f>
        <v/>
      </c>
      <c r="AB91" s="5">
        <f>IF(AA91="","",IF(AA91&gt;0,"Sim","Não"))</f>
        <v/>
      </c>
      <c r="AC91" s="3" t="n"/>
      <c r="AD91" s="3" t="n"/>
    </row>
    <row r="92">
      <c r="A92" s="3" t="n"/>
      <c r="B92" s="3" t="n"/>
      <c r="C92" s="4" t="n"/>
      <c r="D92" s="3" t="n"/>
      <c r="E92" s="3" t="n"/>
      <c r="F92" s="3" t="n"/>
      <c r="G92" s="3" t="n"/>
      <c r="H92" s="3" t="n"/>
      <c r="I92" s="3" t="n"/>
      <c r="J92" s="3" t="n"/>
      <c r="K92" s="3" t="n"/>
      <c r="L92" s="5">
        <f>IF(H92&lt;&gt;"",H92,IF(AND(I92&lt;&gt;"",J92&lt;&gt;""),ROUND(I92*TAN(RADIANS(J92))+IF(K92="",1.6,K92),2),""))</f>
        <v/>
      </c>
      <c r="M92" s="5">
        <f>IF(D92="","",IFERROR(IF(VLOOKUP(D92,Referencia!$A$2:$B$5,2,FALSE)="","",VLOOKUP(D92,Referencia!$A$2:$B$5,2,FALSE)),""))</f>
        <v/>
      </c>
      <c r="N92" s="5">
        <f>IF(OR(L92="",M92=""),"",IF(L92&gt;=M92,"C","NC"))</f>
        <v/>
      </c>
      <c r="O92" s="3" t="n"/>
      <c r="P92" s="3" t="n"/>
      <c r="Q92" s="5">
        <f>IF(OR(O92="",P92=""),"",ROUND(O92-P92,2))</f>
        <v/>
      </c>
      <c r="R92" s="5">
        <f>IF(Q92="","",IF(Q92&gt;=Referencia!$B$8,"C","NC"))</f>
        <v/>
      </c>
      <c r="S92" s="3" t="n"/>
      <c r="T92" s="3" t="n"/>
      <c r="U92" s="3" t="n"/>
      <c r="V92" s="3" t="n"/>
      <c r="W92" s="3" t="n"/>
      <c r="X92" s="3" t="n"/>
      <c r="Y92" s="3" t="n"/>
      <c r="Z92" s="3" t="n"/>
      <c r="AA92" s="5">
        <f>IF(F92="","",(N92="NC")+(R92="NC")+(S92="Não")+(S92="Parcial")+(T92="Sim")+(U92="Sim")+(V92="Sim")+(W92="Sim")+(X92="Sim"))</f>
        <v/>
      </c>
      <c r="AB92" s="5">
        <f>IF(AA92="","",IF(AA92&gt;0,"Sim","Não"))</f>
        <v/>
      </c>
      <c r="AC92" s="3" t="n"/>
      <c r="AD92" s="3" t="n"/>
    </row>
    <row r="93">
      <c r="A93" s="3" t="n"/>
      <c r="B93" s="3" t="n"/>
      <c r="C93" s="4" t="n"/>
      <c r="D93" s="3" t="n"/>
      <c r="E93" s="3" t="n"/>
      <c r="F93" s="3" t="n"/>
      <c r="G93" s="3" t="n"/>
      <c r="H93" s="3" t="n"/>
      <c r="I93" s="3" t="n"/>
      <c r="J93" s="3" t="n"/>
      <c r="K93" s="3" t="n"/>
      <c r="L93" s="5">
        <f>IF(H93&lt;&gt;"",H93,IF(AND(I93&lt;&gt;"",J93&lt;&gt;""),ROUND(I93*TAN(RADIANS(J93))+IF(K93="",1.6,K93),2),""))</f>
        <v/>
      </c>
      <c r="M93" s="5">
        <f>IF(D93="","",IFERROR(IF(VLOOKUP(D93,Referencia!$A$2:$B$5,2,FALSE)="","",VLOOKUP(D93,Referencia!$A$2:$B$5,2,FALSE)),""))</f>
        <v/>
      </c>
      <c r="N93" s="5">
        <f>IF(OR(L93="",M93=""),"",IF(L93&gt;=M93,"C","NC"))</f>
        <v/>
      </c>
      <c r="O93" s="3" t="n"/>
      <c r="P93" s="3" t="n"/>
      <c r="Q93" s="5">
        <f>IF(OR(O93="",P93=""),"",ROUND(O93-P93,2))</f>
        <v/>
      </c>
      <c r="R93" s="5">
        <f>IF(Q93="","",IF(Q93&gt;=Referencia!$B$8,"C","NC"))</f>
        <v/>
      </c>
      <c r="S93" s="3" t="n"/>
      <c r="T93" s="3" t="n"/>
      <c r="U93" s="3" t="n"/>
      <c r="V93" s="3" t="n"/>
      <c r="W93" s="3" t="n"/>
      <c r="X93" s="3" t="n"/>
      <c r="Y93" s="3" t="n"/>
      <c r="Z93" s="3" t="n"/>
      <c r="AA93" s="5">
        <f>IF(F93="","",(N93="NC")+(R93="NC")+(S93="Não")+(S93="Parcial")+(T93="Sim")+(U93="Sim")+(V93="Sim")+(W93="Sim")+(X93="Sim"))</f>
        <v/>
      </c>
      <c r="AB93" s="5">
        <f>IF(AA93="","",IF(AA93&gt;0,"Sim","Não"))</f>
        <v/>
      </c>
      <c r="AC93" s="3" t="n"/>
      <c r="AD93" s="3" t="n"/>
    </row>
    <row r="94">
      <c r="A94" s="3" t="n"/>
      <c r="B94" s="3" t="n"/>
      <c r="C94" s="4" t="n"/>
      <c r="D94" s="3" t="n"/>
      <c r="E94" s="3" t="n"/>
      <c r="F94" s="3" t="n"/>
      <c r="G94" s="3" t="n"/>
      <c r="H94" s="3" t="n"/>
      <c r="I94" s="3" t="n"/>
      <c r="J94" s="3" t="n"/>
      <c r="K94" s="3" t="n"/>
      <c r="L94" s="5">
        <f>IF(H94&lt;&gt;"",H94,IF(AND(I94&lt;&gt;"",J94&lt;&gt;""),ROUND(I94*TAN(RADIANS(J94))+IF(K94="",1.6,K94),2),""))</f>
        <v/>
      </c>
      <c r="M94" s="5">
        <f>IF(D94="","",IFERROR(IF(VLOOKUP(D94,Referencia!$A$2:$B$5,2,FALSE)="","",VLOOKUP(D94,Referencia!$A$2:$B$5,2,FALSE)),""))</f>
        <v/>
      </c>
      <c r="N94" s="5">
        <f>IF(OR(L94="",M94=""),"",IF(L94&gt;=M94,"C","NC"))</f>
        <v/>
      </c>
      <c r="O94" s="3" t="n"/>
      <c r="P94" s="3" t="n"/>
      <c r="Q94" s="5">
        <f>IF(OR(O94="",P94=""),"",ROUND(O94-P94,2))</f>
        <v/>
      </c>
      <c r="R94" s="5">
        <f>IF(Q94="","",IF(Q94&gt;=Referencia!$B$8,"C","NC"))</f>
        <v/>
      </c>
      <c r="S94" s="3" t="n"/>
      <c r="T94" s="3" t="n"/>
      <c r="U94" s="3" t="n"/>
      <c r="V94" s="3" t="n"/>
      <c r="W94" s="3" t="n"/>
      <c r="X94" s="3" t="n"/>
      <c r="Y94" s="3" t="n"/>
      <c r="Z94" s="3" t="n"/>
      <c r="AA94" s="5">
        <f>IF(F94="","",(N94="NC")+(R94="NC")+(S94="Não")+(S94="Parcial")+(T94="Sim")+(U94="Sim")+(V94="Sim")+(W94="Sim")+(X94="Sim"))</f>
        <v/>
      </c>
      <c r="AB94" s="5">
        <f>IF(AA94="","",IF(AA94&gt;0,"Sim","Não"))</f>
        <v/>
      </c>
      <c r="AC94" s="3" t="n"/>
      <c r="AD94" s="3" t="n"/>
    </row>
    <row r="95">
      <c r="A95" s="3" t="n"/>
      <c r="B95" s="3" t="n"/>
      <c r="C95" s="4" t="n"/>
      <c r="D95" s="3" t="n"/>
      <c r="E95" s="3" t="n"/>
      <c r="F95" s="3" t="n"/>
      <c r="G95" s="3" t="n"/>
      <c r="H95" s="3" t="n"/>
      <c r="I95" s="3" t="n"/>
      <c r="J95" s="3" t="n"/>
      <c r="K95" s="3" t="n"/>
      <c r="L95" s="5">
        <f>IF(H95&lt;&gt;"",H95,IF(AND(I95&lt;&gt;"",J95&lt;&gt;""),ROUND(I95*TAN(RADIANS(J95))+IF(K95="",1.6,K95),2),""))</f>
        <v/>
      </c>
      <c r="M95" s="5">
        <f>IF(D95="","",IFERROR(IF(VLOOKUP(D95,Referencia!$A$2:$B$5,2,FALSE)="","",VLOOKUP(D95,Referencia!$A$2:$B$5,2,FALSE)),""))</f>
        <v/>
      </c>
      <c r="N95" s="5">
        <f>IF(OR(L95="",M95=""),"",IF(L95&gt;=M95,"C","NC"))</f>
        <v/>
      </c>
      <c r="O95" s="3" t="n"/>
      <c r="P95" s="3" t="n"/>
      <c r="Q95" s="5">
        <f>IF(OR(O95="",P95=""),"",ROUND(O95-P95,2))</f>
        <v/>
      </c>
      <c r="R95" s="5">
        <f>IF(Q95="","",IF(Q95&gt;=Referencia!$B$8,"C","NC"))</f>
        <v/>
      </c>
      <c r="S95" s="3" t="n"/>
      <c r="T95" s="3" t="n"/>
      <c r="U95" s="3" t="n"/>
      <c r="V95" s="3" t="n"/>
      <c r="W95" s="3" t="n"/>
      <c r="X95" s="3" t="n"/>
      <c r="Y95" s="3" t="n"/>
      <c r="Z95" s="3" t="n"/>
      <c r="AA95" s="5">
        <f>IF(F95="","",(N95="NC")+(R95="NC")+(S95="Não")+(S95="Parcial")+(T95="Sim")+(U95="Sim")+(V95="Sim")+(W95="Sim")+(X95="Sim"))</f>
        <v/>
      </c>
      <c r="AB95" s="5">
        <f>IF(AA95="","",IF(AA95&gt;0,"Sim","Não"))</f>
        <v/>
      </c>
      <c r="AC95" s="3" t="n"/>
      <c r="AD95" s="3" t="n"/>
    </row>
    <row r="96">
      <c r="A96" s="3" t="n"/>
      <c r="B96" s="3" t="n"/>
      <c r="C96" s="4" t="n"/>
      <c r="D96" s="3" t="n"/>
      <c r="E96" s="3" t="n"/>
      <c r="F96" s="3" t="n"/>
      <c r="G96" s="3" t="n"/>
      <c r="H96" s="3" t="n"/>
      <c r="I96" s="3" t="n"/>
      <c r="J96" s="3" t="n"/>
      <c r="K96" s="3" t="n"/>
      <c r="L96" s="5">
        <f>IF(H96&lt;&gt;"",H96,IF(AND(I96&lt;&gt;"",J96&lt;&gt;""),ROUND(I96*TAN(RADIANS(J96))+IF(K96="",1.6,K96),2),""))</f>
        <v/>
      </c>
      <c r="M96" s="5">
        <f>IF(D96="","",IFERROR(IF(VLOOKUP(D96,Referencia!$A$2:$B$5,2,FALSE)="","",VLOOKUP(D96,Referencia!$A$2:$B$5,2,FALSE)),""))</f>
        <v/>
      </c>
      <c r="N96" s="5">
        <f>IF(OR(L96="",M96=""),"",IF(L96&gt;=M96,"C","NC"))</f>
        <v/>
      </c>
      <c r="O96" s="3" t="n"/>
      <c r="P96" s="3" t="n"/>
      <c r="Q96" s="5">
        <f>IF(OR(O96="",P96=""),"",ROUND(O96-P96,2))</f>
        <v/>
      </c>
      <c r="R96" s="5">
        <f>IF(Q96="","",IF(Q96&gt;=Referencia!$B$8,"C","NC"))</f>
        <v/>
      </c>
      <c r="S96" s="3" t="n"/>
      <c r="T96" s="3" t="n"/>
      <c r="U96" s="3" t="n"/>
      <c r="V96" s="3" t="n"/>
      <c r="W96" s="3" t="n"/>
      <c r="X96" s="3" t="n"/>
      <c r="Y96" s="3" t="n"/>
      <c r="Z96" s="3" t="n"/>
      <c r="AA96" s="5">
        <f>IF(F96="","",(N96="NC")+(R96="NC")+(S96="Não")+(S96="Parcial")+(T96="Sim")+(U96="Sim")+(V96="Sim")+(W96="Sim")+(X96="Sim"))</f>
        <v/>
      </c>
      <c r="AB96" s="5">
        <f>IF(AA96="","",IF(AA96&gt;0,"Sim","Não"))</f>
        <v/>
      </c>
      <c r="AC96" s="3" t="n"/>
      <c r="AD96" s="3" t="n"/>
    </row>
    <row r="97">
      <c r="A97" s="3" t="n"/>
      <c r="B97" s="3" t="n"/>
      <c r="C97" s="4" t="n"/>
      <c r="D97" s="3" t="n"/>
      <c r="E97" s="3" t="n"/>
      <c r="F97" s="3" t="n"/>
      <c r="G97" s="3" t="n"/>
      <c r="H97" s="3" t="n"/>
      <c r="I97" s="3" t="n"/>
      <c r="J97" s="3" t="n"/>
      <c r="K97" s="3" t="n"/>
      <c r="L97" s="5">
        <f>IF(H97&lt;&gt;"",H97,IF(AND(I97&lt;&gt;"",J97&lt;&gt;""),ROUND(I97*TAN(RADIANS(J97))+IF(K97="",1.6,K97),2),""))</f>
        <v/>
      </c>
      <c r="M97" s="5">
        <f>IF(D97="","",IFERROR(IF(VLOOKUP(D97,Referencia!$A$2:$B$5,2,FALSE)="","",VLOOKUP(D97,Referencia!$A$2:$B$5,2,FALSE)),""))</f>
        <v/>
      </c>
      <c r="N97" s="5">
        <f>IF(OR(L97="",M97=""),"",IF(L97&gt;=M97,"C","NC"))</f>
        <v/>
      </c>
      <c r="O97" s="3" t="n"/>
      <c r="P97" s="3" t="n"/>
      <c r="Q97" s="5">
        <f>IF(OR(O97="",P97=""),"",ROUND(O97-P97,2))</f>
        <v/>
      </c>
      <c r="R97" s="5">
        <f>IF(Q97="","",IF(Q97&gt;=Referencia!$B$8,"C","NC"))</f>
        <v/>
      </c>
      <c r="S97" s="3" t="n"/>
      <c r="T97" s="3" t="n"/>
      <c r="U97" s="3" t="n"/>
      <c r="V97" s="3" t="n"/>
      <c r="W97" s="3" t="n"/>
      <c r="X97" s="3" t="n"/>
      <c r="Y97" s="3" t="n"/>
      <c r="Z97" s="3" t="n"/>
      <c r="AA97" s="5">
        <f>IF(F97="","",(N97="NC")+(R97="NC")+(S97="Não")+(S97="Parcial")+(T97="Sim")+(U97="Sim")+(V97="Sim")+(W97="Sim")+(X97="Sim"))</f>
        <v/>
      </c>
      <c r="AB97" s="5">
        <f>IF(AA97="","",IF(AA97&gt;0,"Sim","Não"))</f>
        <v/>
      </c>
      <c r="AC97" s="3" t="n"/>
      <c r="AD97" s="3" t="n"/>
    </row>
    <row r="98">
      <c r="A98" s="3" t="n"/>
      <c r="B98" s="3" t="n"/>
      <c r="C98" s="4" t="n"/>
      <c r="D98" s="3" t="n"/>
      <c r="E98" s="3" t="n"/>
      <c r="F98" s="3" t="n"/>
      <c r="G98" s="3" t="n"/>
      <c r="H98" s="3" t="n"/>
      <c r="I98" s="3" t="n"/>
      <c r="J98" s="3" t="n"/>
      <c r="K98" s="3" t="n"/>
      <c r="L98" s="5">
        <f>IF(H98&lt;&gt;"",H98,IF(AND(I98&lt;&gt;"",J98&lt;&gt;""),ROUND(I98*TAN(RADIANS(J98))+IF(K98="",1.6,K98),2),""))</f>
        <v/>
      </c>
      <c r="M98" s="5">
        <f>IF(D98="","",IFERROR(IF(VLOOKUP(D98,Referencia!$A$2:$B$5,2,FALSE)="","",VLOOKUP(D98,Referencia!$A$2:$B$5,2,FALSE)),""))</f>
        <v/>
      </c>
      <c r="N98" s="5">
        <f>IF(OR(L98="",M98=""),"",IF(L98&gt;=M98,"C","NC"))</f>
        <v/>
      </c>
      <c r="O98" s="3" t="n"/>
      <c r="P98" s="3" t="n"/>
      <c r="Q98" s="5">
        <f>IF(OR(O98="",P98=""),"",ROUND(O98-P98,2))</f>
        <v/>
      </c>
      <c r="R98" s="5">
        <f>IF(Q98="","",IF(Q98&gt;=Referencia!$B$8,"C","NC"))</f>
        <v/>
      </c>
      <c r="S98" s="3" t="n"/>
      <c r="T98" s="3" t="n"/>
      <c r="U98" s="3" t="n"/>
      <c r="V98" s="3" t="n"/>
      <c r="W98" s="3" t="n"/>
      <c r="X98" s="3" t="n"/>
      <c r="Y98" s="3" t="n"/>
      <c r="Z98" s="3" t="n"/>
      <c r="AA98" s="5">
        <f>IF(F98="","",(N98="NC")+(R98="NC")+(S98="Não")+(S98="Parcial")+(T98="Sim")+(U98="Sim")+(V98="Sim")+(W98="Sim")+(X98="Sim"))</f>
        <v/>
      </c>
      <c r="AB98" s="5">
        <f>IF(AA98="","",IF(AA98&gt;0,"Sim","Não"))</f>
        <v/>
      </c>
      <c r="AC98" s="3" t="n"/>
      <c r="AD98" s="3" t="n"/>
    </row>
    <row r="99">
      <c r="A99" s="3" t="n"/>
      <c r="B99" s="3" t="n"/>
      <c r="C99" s="4" t="n"/>
      <c r="D99" s="3" t="n"/>
      <c r="E99" s="3" t="n"/>
      <c r="F99" s="3" t="n"/>
      <c r="G99" s="3" t="n"/>
      <c r="H99" s="3" t="n"/>
      <c r="I99" s="3" t="n"/>
      <c r="J99" s="3" t="n"/>
      <c r="K99" s="3" t="n"/>
      <c r="L99" s="5">
        <f>IF(H99&lt;&gt;"",H99,IF(AND(I99&lt;&gt;"",J99&lt;&gt;""),ROUND(I99*TAN(RADIANS(J99))+IF(K99="",1.6,K99),2),""))</f>
        <v/>
      </c>
      <c r="M99" s="5">
        <f>IF(D99="","",IFERROR(IF(VLOOKUP(D99,Referencia!$A$2:$B$5,2,FALSE)="","",VLOOKUP(D99,Referencia!$A$2:$B$5,2,FALSE)),""))</f>
        <v/>
      </c>
      <c r="N99" s="5">
        <f>IF(OR(L99="",M99=""),"",IF(L99&gt;=M99,"C","NC"))</f>
        <v/>
      </c>
      <c r="O99" s="3" t="n"/>
      <c r="P99" s="3" t="n"/>
      <c r="Q99" s="5">
        <f>IF(OR(O99="",P99=""),"",ROUND(O99-P99,2))</f>
        <v/>
      </c>
      <c r="R99" s="5">
        <f>IF(Q99="","",IF(Q99&gt;=Referencia!$B$8,"C","NC"))</f>
        <v/>
      </c>
      <c r="S99" s="3" t="n"/>
      <c r="T99" s="3" t="n"/>
      <c r="U99" s="3" t="n"/>
      <c r="V99" s="3" t="n"/>
      <c r="W99" s="3" t="n"/>
      <c r="X99" s="3" t="n"/>
      <c r="Y99" s="3" t="n"/>
      <c r="Z99" s="3" t="n"/>
      <c r="AA99" s="5">
        <f>IF(F99="","",(N99="NC")+(R99="NC")+(S99="Não")+(S99="Parcial")+(T99="Sim")+(U99="Sim")+(V99="Sim")+(W99="Sim")+(X99="Sim"))</f>
        <v/>
      </c>
      <c r="AB99" s="5">
        <f>IF(AA99="","",IF(AA99&gt;0,"Sim","Não"))</f>
        <v/>
      </c>
      <c r="AC99" s="3" t="n"/>
      <c r="AD99" s="3" t="n"/>
    </row>
    <row r="100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5">
        <f>IF(H100&lt;&gt;"",H100,IF(AND(I100&lt;&gt;"",J100&lt;&gt;""),ROUND(I100*TAN(RADIANS(J100))+IF(K100="",1.6,K100),2),""))</f>
        <v/>
      </c>
      <c r="M100" s="5">
        <f>IF(D100="","",IFERROR(IF(VLOOKUP(D100,Referencia!$A$2:$B$5,2,FALSE)="","",VLOOKUP(D100,Referencia!$A$2:$B$5,2,FALSE)),""))</f>
        <v/>
      </c>
      <c r="N100" s="5">
        <f>IF(OR(L100="",M100=""),"",IF(L100&gt;=M100,"C","NC"))</f>
        <v/>
      </c>
      <c r="O100" s="3" t="n"/>
      <c r="P100" s="3" t="n"/>
      <c r="Q100" s="5">
        <f>IF(OR(O100="",P100=""),"",ROUND(O100-P100,2))</f>
        <v/>
      </c>
      <c r="R100" s="5">
        <f>IF(Q100="","",IF(Q100&gt;=Referencia!$B$8,"C","NC"))</f>
        <v/>
      </c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5">
        <f>IF(F100="","",(N100="NC")+(R100="NC")+(S100="Não")+(S100="Parcial")+(T100="Sim")+(U100="Sim")+(V100="Sim")+(W100="Sim")+(X100="Sim"))</f>
        <v/>
      </c>
      <c r="AB100" s="5">
        <f>IF(AA100="","",IF(AA100&gt;0,"Sim","Não"))</f>
        <v/>
      </c>
      <c r="AC100" s="3" t="n"/>
      <c r="AD100" s="3" t="n"/>
    </row>
    <row r="10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5">
        <f>IF(H101&lt;&gt;"",H101,IF(AND(I101&lt;&gt;"",J101&lt;&gt;""),ROUND(I101*TAN(RADIANS(J101))+IF(K101="",1.6,K101),2),""))</f>
        <v/>
      </c>
      <c r="M101" s="5">
        <f>IF(D101="","",IFERROR(IF(VLOOKUP(D101,Referencia!$A$2:$B$5,2,FALSE)="","",VLOOKUP(D101,Referencia!$A$2:$B$5,2,FALSE)),""))</f>
        <v/>
      </c>
      <c r="N101" s="5">
        <f>IF(OR(L101="",M101=""),"",IF(L101&gt;=M101,"C","NC"))</f>
        <v/>
      </c>
      <c r="O101" s="3" t="n"/>
      <c r="P101" s="3" t="n"/>
      <c r="Q101" s="5">
        <f>IF(OR(O101="",P101=""),"",ROUND(O101-P101,2))</f>
        <v/>
      </c>
      <c r="R101" s="5">
        <f>IF(Q101="","",IF(Q101&gt;=Referencia!$B$8,"C","NC"))</f>
        <v/>
      </c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5">
        <f>IF(F101="","",(N101="NC")+(R101="NC")+(S101="Não")+(S101="Parcial")+(T101="Sim")+(U101="Sim")+(V101="Sim")+(W101="Sim")+(X101="Sim"))</f>
        <v/>
      </c>
      <c r="AB101" s="5">
        <f>IF(AA101="","",IF(AA101&gt;0,"Sim","Não"))</f>
        <v/>
      </c>
      <c r="AC101" s="3" t="n"/>
      <c r="AD101" s="3" t="n"/>
    </row>
    <row r="102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5">
        <f>IF(H102&lt;&gt;"",H102,IF(AND(I102&lt;&gt;"",J102&lt;&gt;""),ROUND(I102*TAN(RADIANS(J102))+IF(K102="",1.6,K102),2),""))</f>
        <v/>
      </c>
      <c r="M102" s="5">
        <f>IF(D102="","",IFERROR(IF(VLOOKUP(D102,Referencia!$A$2:$B$5,2,FALSE)="","",VLOOKUP(D102,Referencia!$A$2:$B$5,2,FALSE)),""))</f>
        <v/>
      </c>
      <c r="N102" s="5">
        <f>IF(OR(L102="",M102=""),"",IF(L102&gt;=M102,"C","NC"))</f>
        <v/>
      </c>
      <c r="O102" s="3" t="n"/>
      <c r="P102" s="3" t="n"/>
      <c r="Q102" s="5">
        <f>IF(OR(O102="",P102=""),"",ROUND(O102-P102,2))</f>
        <v/>
      </c>
      <c r="R102" s="5">
        <f>IF(Q102="","",IF(Q102&gt;=Referencia!$B$8,"C","NC"))</f>
        <v/>
      </c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5">
        <f>IF(F102="","",(N102="NC")+(R102="NC")+(S102="Não")+(S102="Parcial")+(T102="Sim")+(U102="Sim")+(V102="Sim")+(W102="Sim")+(X102="Sim"))</f>
        <v/>
      </c>
      <c r="AB102" s="5">
        <f>IF(AA102="","",IF(AA102&gt;0,"Sim","Não"))</f>
        <v/>
      </c>
      <c r="AC102" s="3" t="n"/>
      <c r="AD102" s="3" t="n"/>
    </row>
    <row r="103">
      <c r="A103" s="3" t="n"/>
      <c r="B103" s="3" t="n"/>
      <c r="C103" s="4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5">
        <f>IF(H103&lt;&gt;"",H103,IF(AND(I103&lt;&gt;"",J103&lt;&gt;""),ROUND(I103*TAN(RADIANS(J103))+IF(K103="",1.6,K103),2),""))</f>
        <v/>
      </c>
      <c r="M103" s="5">
        <f>IF(D103="","",IFERROR(IF(VLOOKUP(D103,Referencia!$A$2:$B$5,2,FALSE)="","",VLOOKUP(D103,Referencia!$A$2:$B$5,2,FALSE)),""))</f>
        <v/>
      </c>
      <c r="N103" s="5">
        <f>IF(OR(L103="",M103=""),"",IF(L103&gt;=M103,"C","NC"))</f>
        <v/>
      </c>
      <c r="O103" s="3" t="n"/>
      <c r="P103" s="3" t="n"/>
      <c r="Q103" s="5">
        <f>IF(OR(O103="",P103=""),"",ROUND(O103-P103,2))</f>
        <v/>
      </c>
      <c r="R103" s="5">
        <f>IF(Q103="","",IF(Q103&gt;=Referencia!$B$8,"C","NC"))</f>
        <v/>
      </c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5">
        <f>IF(F103="","",(N103="NC")+(R103="NC")+(S103="Não")+(S103="Parcial")+(T103="Sim")+(U103="Sim")+(V103="Sim")+(W103="Sim")+(X103="Sim"))</f>
        <v/>
      </c>
      <c r="AB103" s="5">
        <f>IF(AA103="","",IF(AA103&gt;0,"Sim","Não"))</f>
        <v/>
      </c>
      <c r="AC103" s="3" t="n"/>
      <c r="AD103" s="3" t="n"/>
    </row>
    <row r="104">
      <c r="A104" s="3" t="n"/>
      <c r="B104" s="3" t="n"/>
      <c r="C104" s="4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5">
        <f>IF(H104&lt;&gt;"",H104,IF(AND(I104&lt;&gt;"",J104&lt;&gt;""),ROUND(I104*TAN(RADIANS(J104))+IF(K104="",1.6,K104),2),""))</f>
        <v/>
      </c>
      <c r="M104" s="5">
        <f>IF(D104="","",IFERROR(IF(VLOOKUP(D104,Referencia!$A$2:$B$5,2,FALSE)="","",VLOOKUP(D104,Referencia!$A$2:$B$5,2,FALSE)),""))</f>
        <v/>
      </c>
      <c r="N104" s="5">
        <f>IF(OR(L104="",M104=""),"",IF(L104&gt;=M104,"C","NC"))</f>
        <v/>
      </c>
      <c r="O104" s="3" t="n"/>
      <c r="P104" s="3" t="n"/>
      <c r="Q104" s="5">
        <f>IF(OR(O104="",P104=""),"",ROUND(O104-P104,2))</f>
        <v/>
      </c>
      <c r="R104" s="5">
        <f>IF(Q104="","",IF(Q104&gt;=Referencia!$B$8,"C","NC"))</f>
        <v/>
      </c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5">
        <f>IF(F104="","",(N104="NC")+(R104="NC")+(S104="Não")+(S104="Parcial")+(T104="Sim")+(U104="Sim")+(V104="Sim")+(W104="Sim")+(X104="Sim"))</f>
        <v/>
      </c>
      <c r="AB104" s="5">
        <f>IF(AA104="","",IF(AA104&gt;0,"Sim","Não"))</f>
        <v/>
      </c>
      <c r="AC104" s="3" t="n"/>
      <c r="AD104" s="3" t="n"/>
    </row>
    <row r="105">
      <c r="A105" s="3" t="n"/>
      <c r="B105" s="3" t="n"/>
      <c r="C105" s="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5">
        <f>IF(H105&lt;&gt;"",H105,IF(AND(I105&lt;&gt;"",J105&lt;&gt;""),ROUND(I105*TAN(RADIANS(J105))+IF(K105="",1.6,K105),2),""))</f>
        <v/>
      </c>
      <c r="M105" s="5">
        <f>IF(D105="","",IFERROR(IF(VLOOKUP(D105,Referencia!$A$2:$B$5,2,FALSE)="","",VLOOKUP(D105,Referencia!$A$2:$B$5,2,FALSE)),""))</f>
        <v/>
      </c>
      <c r="N105" s="5">
        <f>IF(OR(L105="",M105=""),"",IF(L105&gt;=M105,"C","NC"))</f>
        <v/>
      </c>
      <c r="O105" s="3" t="n"/>
      <c r="P105" s="3" t="n"/>
      <c r="Q105" s="5">
        <f>IF(OR(O105="",P105=""),"",ROUND(O105-P105,2))</f>
        <v/>
      </c>
      <c r="R105" s="5">
        <f>IF(Q105="","",IF(Q105&gt;=Referencia!$B$8,"C","NC"))</f>
        <v/>
      </c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5">
        <f>IF(F105="","",(N105="NC")+(R105="NC")+(S105="Não")+(S105="Parcial")+(T105="Sim")+(U105="Sim")+(V105="Sim")+(W105="Sim")+(X105="Sim"))</f>
        <v/>
      </c>
      <c r="AB105" s="5">
        <f>IF(AA105="","",IF(AA105&gt;0,"Sim","Não"))</f>
        <v/>
      </c>
      <c r="AC105" s="3" t="n"/>
      <c r="AD105" s="3" t="n"/>
    </row>
    <row r="106">
      <c r="A106" s="3" t="n"/>
      <c r="B106" s="3" t="n"/>
      <c r="C106" s="4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5">
        <f>IF(H106&lt;&gt;"",H106,IF(AND(I106&lt;&gt;"",J106&lt;&gt;""),ROUND(I106*TAN(RADIANS(J106))+IF(K106="",1.6,K106),2),""))</f>
        <v/>
      </c>
      <c r="M106" s="5">
        <f>IF(D106="","",IFERROR(IF(VLOOKUP(D106,Referencia!$A$2:$B$5,2,FALSE)="","",VLOOKUP(D106,Referencia!$A$2:$B$5,2,FALSE)),""))</f>
        <v/>
      </c>
      <c r="N106" s="5">
        <f>IF(OR(L106="",M106=""),"",IF(L106&gt;=M106,"C","NC"))</f>
        <v/>
      </c>
      <c r="O106" s="3" t="n"/>
      <c r="P106" s="3" t="n"/>
      <c r="Q106" s="5">
        <f>IF(OR(O106="",P106=""),"",ROUND(O106-P106,2))</f>
        <v/>
      </c>
      <c r="R106" s="5">
        <f>IF(Q106="","",IF(Q106&gt;=Referencia!$B$8,"C","NC"))</f>
        <v/>
      </c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5">
        <f>IF(F106="","",(N106="NC")+(R106="NC")+(S106="Não")+(S106="Parcial")+(T106="Sim")+(U106="Sim")+(V106="Sim")+(W106="Sim")+(X106="Sim"))</f>
        <v/>
      </c>
      <c r="AB106" s="5">
        <f>IF(AA106="","",IF(AA106&gt;0,"Sim","Não"))</f>
        <v/>
      </c>
      <c r="AC106" s="3" t="n"/>
      <c r="AD106" s="3" t="n"/>
    </row>
    <row r="107">
      <c r="A107" s="3" t="n"/>
      <c r="B107" s="3" t="n"/>
      <c r="C107" s="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5">
        <f>IF(H107&lt;&gt;"",H107,IF(AND(I107&lt;&gt;"",J107&lt;&gt;""),ROUND(I107*TAN(RADIANS(J107))+IF(K107="",1.6,K107),2),""))</f>
        <v/>
      </c>
      <c r="M107" s="5">
        <f>IF(D107="","",IFERROR(IF(VLOOKUP(D107,Referencia!$A$2:$B$5,2,FALSE)="","",VLOOKUP(D107,Referencia!$A$2:$B$5,2,FALSE)),""))</f>
        <v/>
      </c>
      <c r="N107" s="5">
        <f>IF(OR(L107="",M107=""),"",IF(L107&gt;=M107,"C","NC"))</f>
        <v/>
      </c>
      <c r="O107" s="3" t="n"/>
      <c r="P107" s="3" t="n"/>
      <c r="Q107" s="5">
        <f>IF(OR(O107="",P107=""),"",ROUND(O107-P107,2))</f>
        <v/>
      </c>
      <c r="R107" s="5">
        <f>IF(Q107="","",IF(Q107&gt;=Referencia!$B$8,"C","NC"))</f>
        <v/>
      </c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5">
        <f>IF(F107="","",(N107="NC")+(R107="NC")+(S107="Não")+(S107="Parcial")+(T107="Sim")+(U107="Sim")+(V107="Sim")+(W107="Sim")+(X107="Sim"))</f>
        <v/>
      </c>
      <c r="AB107" s="5">
        <f>IF(AA107="","",IF(AA107&gt;0,"Sim","Não"))</f>
        <v/>
      </c>
      <c r="AC107" s="3" t="n"/>
      <c r="AD107" s="3" t="n"/>
    </row>
    <row r="108">
      <c r="A108" s="3" t="n"/>
      <c r="B108" s="3" t="n"/>
      <c r="C108" s="4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5">
        <f>IF(H108&lt;&gt;"",H108,IF(AND(I108&lt;&gt;"",J108&lt;&gt;""),ROUND(I108*TAN(RADIANS(J108))+IF(K108="",1.6,K108),2),""))</f>
        <v/>
      </c>
      <c r="M108" s="5">
        <f>IF(D108="","",IFERROR(IF(VLOOKUP(D108,Referencia!$A$2:$B$5,2,FALSE)="","",VLOOKUP(D108,Referencia!$A$2:$B$5,2,FALSE)),""))</f>
        <v/>
      </c>
      <c r="N108" s="5">
        <f>IF(OR(L108="",M108=""),"",IF(L108&gt;=M108,"C","NC"))</f>
        <v/>
      </c>
      <c r="O108" s="3" t="n"/>
      <c r="P108" s="3" t="n"/>
      <c r="Q108" s="5">
        <f>IF(OR(O108="",P108=""),"",ROUND(O108-P108,2))</f>
        <v/>
      </c>
      <c r="R108" s="5">
        <f>IF(Q108="","",IF(Q108&gt;=Referencia!$B$8,"C","NC"))</f>
        <v/>
      </c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5">
        <f>IF(F108="","",(N108="NC")+(R108="NC")+(S108="Não")+(S108="Parcial")+(T108="Sim")+(U108="Sim")+(V108="Sim")+(W108="Sim")+(X108="Sim"))</f>
        <v/>
      </c>
      <c r="AB108" s="5">
        <f>IF(AA108="","",IF(AA108&gt;0,"Sim","Não"))</f>
        <v/>
      </c>
      <c r="AC108" s="3" t="n"/>
      <c r="AD108" s="3" t="n"/>
    </row>
    <row r="109">
      <c r="A109" s="3" t="n"/>
      <c r="B109" s="3" t="n"/>
      <c r="C109" s="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5">
        <f>IF(H109&lt;&gt;"",H109,IF(AND(I109&lt;&gt;"",J109&lt;&gt;""),ROUND(I109*TAN(RADIANS(J109))+IF(K109="",1.6,K109),2),""))</f>
        <v/>
      </c>
      <c r="M109" s="5">
        <f>IF(D109="","",IFERROR(IF(VLOOKUP(D109,Referencia!$A$2:$B$5,2,FALSE)="","",VLOOKUP(D109,Referencia!$A$2:$B$5,2,FALSE)),""))</f>
        <v/>
      </c>
      <c r="N109" s="5">
        <f>IF(OR(L109="",M109=""),"",IF(L109&gt;=M109,"C","NC"))</f>
        <v/>
      </c>
      <c r="O109" s="3" t="n"/>
      <c r="P109" s="3" t="n"/>
      <c r="Q109" s="5">
        <f>IF(OR(O109="",P109=""),"",ROUND(O109-P109,2))</f>
        <v/>
      </c>
      <c r="R109" s="5">
        <f>IF(Q109="","",IF(Q109&gt;=Referencia!$B$8,"C","NC"))</f>
        <v/>
      </c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5">
        <f>IF(F109="","",(N109="NC")+(R109="NC")+(S109="Não")+(S109="Parcial")+(T109="Sim")+(U109="Sim")+(V109="Sim")+(W109="Sim")+(X109="Sim"))</f>
        <v/>
      </c>
      <c r="AB109" s="5">
        <f>IF(AA109="","",IF(AA109&gt;0,"Sim","Não"))</f>
        <v/>
      </c>
      <c r="AC109" s="3" t="n"/>
      <c r="AD109" s="3" t="n"/>
    </row>
    <row r="110">
      <c r="A110" s="3" t="n"/>
      <c r="B110" s="3" t="n"/>
      <c r="C110" s="4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5">
        <f>IF(H110&lt;&gt;"",H110,IF(AND(I110&lt;&gt;"",J110&lt;&gt;""),ROUND(I110*TAN(RADIANS(J110))+IF(K110="",1.6,K110),2),""))</f>
        <v/>
      </c>
      <c r="M110" s="5">
        <f>IF(D110="","",IFERROR(IF(VLOOKUP(D110,Referencia!$A$2:$B$5,2,FALSE)="","",VLOOKUP(D110,Referencia!$A$2:$B$5,2,FALSE)),""))</f>
        <v/>
      </c>
      <c r="N110" s="5">
        <f>IF(OR(L110="",M110=""),"",IF(L110&gt;=M110,"C","NC"))</f>
        <v/>
      </c>
      <c r="O110" s="3" t="n"/>
      <c r="P110" s="3" t="n"/>
      <c r="Q110" s="5">
        <f>IF(OR(O110="",P110=""),"",ROUND(O110-P110,2))</f>
        <v/>
      </c>
      <c r="R110" s="5">
        <f>IF(Q110="","",IF(Q110&gt;=Referencia!$B$8,"C","NC"))</f>
        <v/>
      </c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5">
        <f>IF(F110="","",(N110="NC")+(R110="NC")+(S110="Não")+(S110="Parcial")+(T110="Sim")+(U110="Sim")+(V110="Sim")+(W110="Sim")+(X110="Sim"))</f>
        <v/>
      </c>
      <c r="AB110" s="5">
        <f>IF(AA110="","",IF(AA110&gt;0,"Sim","Não"))</f>
        <v/>
      </c>
      <c r="AC110" s="3" t="n"/>
      <c r="AD110" s="3" t="n"/>
    </row>
    <row r="111">
      <c r="A111" s="3" t="n"/>
      <c r="B111" s="3" t="n"/>
      <c r="C111" s="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5">
        <f>IF(H111&lt;&gt;"",H111,IF(AND(I111&lt;&gt;"",J111&lt;&gt;""),ROUND(I111*TAN(RADIANS(J111))+IF(K111="",1.6,K111),2),""))</f>
        <v/>
      </c>
      <c r="M111" s="5">
        <f>IF(D111="","",IFERROR(IF(VLOOKUP(D111,Referencia!$A$2:$B$5,2,FALSE)="","",VLOOKUP(D111,Referencia!$A$2:$B$5,2,FALSE)),""))</f>
        <v/>
      </c>
      <c r="N111" s="5">
        <f>IF(OR(L111="",M111=""),"",IF(L111&gt;=M111,"C","NC"))</f>
        <v/>
      </c>
      <c r="O111" s="3" t="n"/>
      <c r="P111" s="3" t="n"/>
      <c r="Q111" s="5">
        <f>IF(OR(O111="",P111=""),"",ROUND(O111-P111,2))</f>
        <v/>
      </c>
      <c r="R111" s="5">
        <f>IF(Q111="","",IF(Q111&gt;=Referencia!$B$8,"C","NC"))</f>
        <v/>
      </c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5">
        <f>IF(F111="","",(N111="NC")+(R111="NC")+(S111="Não")+(S111="Parcial")+(T111="Sim")+(U111="Sim")+(V111="Sim")+(W111="Sim")+(X111="Sim"))</f>
        <v/>
      </c>
      <c r="AB111" s="5">
        <f>IF(AA111="","",IF(AA111&gt;0,"Sim","Não"))</f>
        <v/>
      </c>
      <c r="AC111" s="3" t="n"/>
      <c r="AD111" s="3" t="n"/>
    </row>
    <row r="112">
      <c r="A112" s="3" t="n"/>
      <c r="B112" s="3" t="n"/>
      <c r="C112" s="4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5">
        <f>IF(H112&lt;&gt;"",H112,IF(AND(I112&lt;&gt;"",J112&lt;&gt;""),ROUND(I112*TAN(RADIANS(J112))+IF(K112="",1.6,K112),2),""))</f>
        <v/>
      </c>
      <c r="M112" s="5">
        <f>IF(D112="","",IFERROR(IF(VLOOKUP(D112,Referencia!$A$2:$B$5,2,FALSE)="","",VLOOKUP(D112,Referencia!$A$2:$B$5,2,FALSE)),""))</f>
        <v/>
      </c>
      <c r="N112" s="5">
        <f>IF(OR(L112="",M112=""),"",IF(L112&gt;=M112,"C","NC"))</f>
        <v/>
      </c>
      <c r="O112" s="3" t="n"/>
      <c r="P112" s="3" t="n"/>
      <c r="Q112" s="5">
        <f>IF(OR(O112="",P112=""),"",ROUND(O112-P112,2))</f>
        <v/>
      </c>
      <c r="R112" s="5">
        <f>IF(Q112="","",IF(Q112&gt;=Referencia!$B$8,"C","NC"))</f>
        <v/>
      </c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5">
        <f>IF(F112="","",(N112="NC")+(R112="NC")+(S112="Não")+(S112="Parcial")+(T112="Sim")+(U112="Sim")+(V112="Sim")+(W112="Sim")+(X112="Sim"))</f>
        <v/>
      </c>
      <c r="AB112" s="5">
        <f>IF(AA112="","",IF(AA112&gt;0,"Sim","Não"))</f>
        <v/>
      </c>
      <c r="AC112" s="3" t="n"/>
      <c r="AD112" s="3" t="n"/>
    </row>
    <row r="113">
      <c r="A113" s="3" t="n"/>
      <c r="B113" s="3" t="n"/>
      <c r="C113" s="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5">
        <f>IF(H113&lt;&gt;"",H113,IF(AND(I113&lt;&gt;"",J113&lt;&gt;""),ROUND(I113*TAN(RADIANS(J113))+IF(K113="",1.6,K113),2),""))</f>
        <v/>
      </c>
      <c r="M113" s="5">
        <f>IF(D113="","",IFERROR(IF(VLOOKUP(D113,Referencia!$A$2:$B$5,2,FALSE)="","",VLOOKUP(D113,Referencia!$A$2:$B$5,2,FALSE)),""))</f>
        <v/>
      </c>
      <c r="N113" s="5">
        <f>IF(OR(L113="",M113=""),"",IF(L113&gt;=M113,"C","NC"))</f>
        <v/>
      </c>
      <c r="O113" s="3" t="n"/>
      <c r="P113" s="3" t="n"/>
      <c r="Q113" s="5">
        <f>IF(OR(O113="",P113=""),"",ROUND(O113-P113,2))</f>
        <v/>
      </c>
      <c r="R113" s="5">
        <f>IF(Q113="","",IF(Q113&gt;=Referencia!$B$8,"C","NC"))</f>
        <v/>
      </c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5">
        <f>IF(F113="","",(N113="NC")+(R113="NC")+(S113="Não")+(S113="Parcial")+(T113="Sim")+(U113="Sim")+(V113="Sim")+(W113="Sim")+(X113="Sim"))</f>
        <v/>
      </c>
      <c r="AB113" s="5">
        <f>IF(AA113="","",IF(AA113&gt;0,"Sim","Não"))</f>
        <v/>
      </c>
      <c r="AC113" s="3" t="n"/>
      <c r="AD113" s="3" t="n"/>
    </row>
    <row r="114">
      <c r="A114" s="3" t="n"/>
      <c r="B114" s="3" t="n"/>
      <c r="C114" s="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5">
        <f>IF(H114&lt;&gt;"",H114,IF(AND(I114&lt;&gt;"",J114&lt;&gt;""),ROUND(I114*TAN(RADIANS(J114))+IF(K114="",1.6,K114),2),""))</f>
        <v/>
      </c>
      <c r="M114" s="5">
        <f>IF(D114="","",IFERROR(IF(VLOOKUP(D114,Referencia!$A$2:$B$5,2,FALSE)="","",VLOOKUP(D114,Referencia!$A$2:$B$5,2,FALSE)),""))</f>
        <v/>
      </c>
      <c r="N114" s="5">
        <f>IF(OR(L114="",M114=""),"",IF(L114&gt;=M114,"C","NC"))</f>
        <v/>
      </c>
      <c r="O114" s="3" t="n"/>
      <c r="P114" s="3" t="n"/>
      <c r="Q114" s="5">
        <f>IF(OR(O114="",P114=""),"",ROUND(O114-P114,2))</f>
        <v/>
      </c>
      <c r="R114" s="5">
        <f>IF(Q114="","",IF(Q114&gt;=Referencia!$B$8,"C","NC"))</f>
        <v/>
      </c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5">
        <f>IF(F114="","",(N114="NC")+(R114="NC")+(S114="Não")+(S114="Parcial")+(T114="Sim")+(U114="Sim")+(V114="Sim")+(W114="Sim")+(X114="Sim"))</f>
        <v/>
      </c>
      <c r="AB114" s="5">
        <f>IF(AA114="","",IF(AA114&gt;0,"Sim","Não"))</f>
        <v/>
      </c>
      <c r="AC114" s="3" t="n"/>
      <c r="AD114" s="3" t="n"/>
    </row>
    <row r="115">
      <c r="A115" s="3" t="n"/>
      <c r="B115" s="3" t="n"/>
      <c r="C115" s="4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5">
        <f>IF(H115&lt;&gt;"",H115,IF(AND(I115&lt;&gt;"",J115&lt;&gt;""),ROUND(I115*TAN(RADIANS(J115))+IF(K115="",1.6,K115),2),""))</f>
        <v/>
      </c>
      <c r="M115" s="5">
        <f>IF(D115="","",IFERROR(IF(VLOOKUP(D115,Referencia!$A$2:$B$5,2,FALSE)="","",VLOOKUP(D115,Referencia!$A$2:$B$5,2,FALSE)),""))</f>
        <v/>
      </c>
      <c r="N115" s="5">
        <f>IF(OR(L115="",M115=""),"",IF(L115&gt;=M115,"C","NC"))</f>
        <v/>
      </c>
      <c r="O115" s="3" t="n"/>
      <c r="P115" s="3" t="n"/>
      <c r="Q115" s="5">
        <f>IF(OR(O115="",P115=""),"",ROUND(O115-P115,2))</f>
        <v/>
      </c>
      <c r="R115" s="5">
        <f>IF(Q115="","",IF(Q115&gt;=Referencia!$B$8,"C","NC"))</f>
        <v/>
      </c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5">
        <f>IF(F115="","",(N115="NC")+(R115="NC")+(S115="Não")+(S115="Parcial")+(T115="Sim")+(U115="Sim")+(V115="Sim")+(W115="Sim")+(X115="Sim"))</f>
        <v/>
      </c>
      <c r="AB115" s="5">
        <f>IF(AA115="","",IF(AA115&gt;0,"Sim","Não"))</f>
        <v/>
      </c>
      <c r="AC115" s="3" t="n"/>
      <c r="AD115" s="3" t="n"/>
    </row>
    <row r="116">
      <c r="A116" s="3" t="n"/>
      <c r="B116" s="3" t="n"/>
      <c r="C116" s="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5">
        <f>IF(H116&lt;&gt;"",H116,IF(AND(I116&lt;&gt;"",J116&lt;&gt;""),ROUND(I116*TAN(RADIANS(J116))+IF(K116="",1.6,K116),2),""))</f>
        <v/>
      </c>
      <c r="M116" s="5">
        <f>IF(D116="","",IFERROR(IF(VLOOKUP(D116,Referencia!$A$2:$B$5,2,FALSE)="","",VLOOKUP(D116,Referencia!$A$2:$B$5,2,FALSE)),""))</f>
        <v/>
      </c>
      <c r="N116" s="5">
        <f>IF(OR(L116="",M116=""),"",IF(L116&gt;=M116,"C","NC"))</f>
        <v/>
      </c>
      <c r="O116" s="3" t="n"/>
      <c r="P116" s="3" t="n"/>
      <c r="Q116" s="5">
        <f>IF(OR(O116="",P116=""),"",ROUND(O116-P116,2))</f>
        <v/>
      </c>
      <c r="R116" s="5">
        <f>IF(Q116="","",IF(Q116&gt;=Referencia!$B$8,"C","NC"))</f>
        <v/>
      </c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5">
        <f>IF(F116="","",(N116="NC")+(R116="NC")+(S116="Não")+(S116="Parcial")+(T116="Sim")+(U116="Sim")+(V116="Sim")+(W116="Sim")+(X116="Sim"))</f>
        <v/>
      </c>
      <c r="AB116" s="5">
        <f>IF(AA116="","",IF(AA116&gt;0,"Sim","Não"))</f>
        <v/>
      </c>
      <c r="AC116" s="3" t="n"/>
      <c r="AD116" s="3" t="n"/>
    </row>
    <row r="117">
      <c r="A117" s="3" t="n"/>
      <c r="B117" s="3" t="n"/>
      <c r="C117" s="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5">
        <f>IF(H117&lt;&gt;"",H117,IF(AND(I117&lt;&gt;"",J117&lt;&gt;""),ROUND(I117*TAN(RADIANS(J117))+IF(K117="",1.6,K117),2),""))</f>
        <v/>
      </c>
      <c r="M117" s="5">
        <f>IF(D117="","",IFERROR(IF(VLOOKUP(D117,Referencia!$A$2:$B$5,2,FALSE)="","",VLOOKUP(D117,Referencia!$A$2:$B$5,2,FALSE)),""))</f>
        <v/>
      </c>
      <c r="N117" s="5">
        <f>IF(OR(L117="",M117=""),"",IF(L117&gt;=M117,"C","NC"))</f>
        <v/>
      </c>
      <c r="O117" s="3" t="n"/>
      <c r="P117" s="3" t="n"/>
      <c r="Q117" s="5">
        <f>IF(OR(O117="",P117=""),"",ROUND(O117-P117,2))</f>
        <v/>
      </c>
      <c r="R117" s="5">
        <f>IF(Q117="","",IF(Q117&gt;=Referencia!$B$8,"C","NC"))</f>
        <v/>
      </c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5">
        <f>IF(F117="","",(N117="NC")+(R117="NC")+(S117="Não")+(S117="Parcial")+(T117="Sim")+(U117="Sim")+(V117="Sim")+(W117="Sim")+(X117="Sim"))</f>
        <v/>
      </c>
      <c r="AB117" s="5">
        <f>IF(AA117="","",IF(AA117&gt;0,"Sim","Não"))</f>
        <v/>
      </c>
      <c r="AC117" s="3" t="n"/>
      <c r="AD117" s="3" t="n"/>
    </row>
    <row r="118">
      <c r="A118" s="3" t="n"/>
      <c r="B118" s="3" t="n"/>
      <c r="C118" s="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5">
        <f>IF(H118&lt;&gt;"",H118,IF(AND(I118&lt;&gt;"",J118&lt;&gt;""),ROUND(I118*TAN(RADIANS(J118))+IF(K118="",1.6,K118),2),""))</f>
        <v/>
      </c>
      <c r="M118" s="5">
        <f>IF(D118="","",IFERROR(IF(VLOOKUP(D118,Referencia!$A$2:$B$5,2,FALSE)="","",VLOOKUP(D118,Referencia!$A$2:$B$5,2,FALSE)),""))</f>
        <v/>
      </c>
      <c r="N118" s="5">
        <f>IF(OR(L118="",M118=""),"",IF(L118&gt;=M118,"C","NC"))</f>
        <v/>
      </c>
      <c r="O118" s="3" t="n"/>
      <c r="P118" s="3" t="n"/>
      <c r="Q118" s="5">
        <f>IF(OR(O118="",P118=""),"",ROUND(O118-P118,2))</f>
        <v/>
      </c>
      <c r="R118" s="5">
        <f>IF(Q118="","",IF(Q118&gt;=Referencia!$B$8,"C","NC"))</f>
        <v/>
      </c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5">
        <f>IF(F118="","",(N118="NC")+(R118="NC")+(S118="Não")+(S118="Parcial")+(T118="Sim")+(U118="Sim")+(V118="Sim")+(W118="Sim")+(X118="Sim"))</f>
        <v/>
      </c>
      <c r="AB118" s="5">
        <f>IF(AA118="","",IF(AA118&gt;0,"Sim","Não"))</f>
        <v/>
      </c>
      <c r="AC118" s="3" t="n"/>
      <c r="AD118" s="3" t="n"/>
    </row>
    <row r="119">
      <c r="A119" s="3" t="n"/>
      <c r="B119" s="3" t="n"/>
      <c r="C119" s="4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5">
        <f>IF(H119&lt;&gt;"",H119,IF(AND(I119&lt;&gt;"",J119&lt;&gt;""),ROUND(I119*TAN(RADIANS(J119))+IF(K119="",1.6,K119),2),""))</f>
        <v/>
      </c>
      <c r="M119" s="5">
        <f>IF(D119="","",IFERROR(IF(VLOOKUP(D119,Referencia!$A$2:$B$5,2,FALSE)="","",VLOOKUP(D119,Referencia!$A$2:$B$5,2,FALSE)),""))</f>
        <v/>
      </c>
      <c r="N119" s="5">
        <f>IF(OR(L119="",M119=""),"",IF(L119&gt;=M119,"C","NC"))</f>
        <v/>
      </c>
      <c r="O119" s="3" t="n"/>
      <c r="P119" s="3" t="n"/>
      <c r="Q119" s="5">
        <f>IF(OR(O119="",P119=""),"",ROUND(O119-P119,2))</f>
        <v/>
      </c>
      <c r="R119" s="5">
        <f>IF(Q119="","",IF(Q119&gt;=Referencia!$B$8,"C","NC"))</f>
        <v/>
      </c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5">
        <f>IF(F119="","",(N119="NC")+(R119="NC")+(S119="Não")+(S119="Parcial")+(T119="Sim")+(U119="Sim")+(V119="Sim")+(W119="Sim")+(X119="Sim"))</f>
        <v/>
      </c>
      <c r="AB119" s="5">
        <f>IF(AA119="","",IF(AA119&gt;0,"Sim","Não"))</f>
        <v/>
      </c>
      <c r="AC119" s="3" t="n"/>
      <c r="AD119" s="3" t="n"/>
    </row>
    <row r="120">
      <c r="A120" s="3" t="n"/>
      <c r="B120" s="3" t="n"/>
      <c r="C120" s="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5">
        <f>IF(H120&lt;&gt;"",H120,IF(AND(I120&lt;&gt;"",J120&lt;&gt;""),ROUND(I120*TAN(RADIANS(J120))+IF(K120="",1.6,K120),2),""))</f>
        <v/>
      </c>
      <c r="M120" s="5">
        <f>IF(D120="","",IFERROR(IF(VLOOKUP(D120,Referencia!$A$2:$B$5,2,FALSE)="","",VLOOKUP(D120,Referencia!$A$2:$B$5,2,FALSE)),""))</f>
        <v/>
      </c>
      <c r="N120" s="5">
        <f>IF(OR(L120="",M120=""),"",IF(L120&gt;=M120,"C","NC"))</f>
        <v/>
      </c>
      <c r="O120" s="3" t="n"/>
      <c r="P120" s="3" t="n"/>
      <c r="Q120" s="5">
        <f>IF(OR(O120="",P120=""),"",ROUND(O120-P120,2))</f>
        <v/>
      </c>
      <c r="R120" s="5">
        <f>IF(Q120="","",IF(Q120&gt;=Referencia!$B$8,"C","NC"))</f>
        <v/>
      </c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5">
        <f>IF(F120="","",(N120="NC")+(R120="NC")+(S120="Não")+(S120="Parcial")+(T120="Sim")+(U120="Sim")+(V120="Sim")+(W120="Sim")+(X120="Sim"))</f>
        <v/>
      </c>
      <c r="AB120" s="5">
        <f>IF(AA120="","",IF(AA120&gt;0,"Sim","Não"))</f>
        <v/>
      </c>
      <c r="AC120" s="3" t="n"/>
      <c r="AD120" s="3" t="n"/>
    </row>
    <row r="121">
      <c r="A121" s="3" t="n"/>
      <c r="B121" s="3" t="n"/>
      <c r="C121" s="4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5">
        <f>IF(H121&lt;&gt;"",H121,IF(AND(I121&lt;&gt;"",J121&lt;&gt;""),ROUND(I121*TAN(RADIANS(J121))+IF(K121="",1.6,K121),2),""))</f>
        <v/>
      </c>
      <c r="M121" s="5">
        <f>IF(D121="","",IFERROR(IF(VLOOKUP(D121,Referencia!$A$2:$B$5,2,FALSE)="","",VLOOKUP(D121,Referencia!$A$2:$B$5,2,FALSE)),""))</f>
        <v/>
      </c>
      <c r="N121" s="5">
        <f>IF(OR(L121="",M121=""),"",IF(L121&gt;=M121,"C","NC"))</f>
        <v/>
      </c>
      <c r="O121" s="3" t="n"/>
      <c r="P121" s="3" t="n"/>
      <c r="Q121" s="5">
        <f>IF(OR(O121="",P121=""),"",ROUND(O121-P121,2))</f>
        <v/>
      </c>
      <c r="R121" s="5">
        <f>IF(Q121="","",IF(Q121&gt;=Referencia!$B$8,"C","NC"))</f>
        <v/>
      </c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5">
        <f>IF(F121="","",(N121="NC")+(R121="NC")+(S121="Não")+(S121="Parcial")+(T121="Sim")+(U121="Sim")+(V121="Sim")+(W121="Sim")+(X121="Sim"))</f>
        <v/>
      </c>
      <c r="AB121" s="5">
        <f>IF(AA121="","",IF(AA121&gt;0,"Sim","Não"))</f>
        <v/>
      </c>
      <c r="AC121" s="3" t="n"/>
      <c r="AD121" s="3" t="n"/>
    </row>
    <row r="122">
      <c r="A122" s="3" t="n"/>
      <c r="B122" s="3" t="n"/>
      <c r="C122" s="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5">
        <f>IF(H122&lt;&gt;"",H122,IF(AND(I122&lt;&gt;"",J122&lt;&gt;""),ROUND(I122*TAN(RADIANS(J122))+IF(K122="",1.6,K122),2),""))</f>
        <v/>
      </c>
      <c r="M122" s="5">
        <f>IF(D122="","",IFERROR(IF(VLOOKUP(D122,Referencia!$A$2:$B$5,2,FALSE)="","",VLOOKUP(D122,Referencia!$A$2:$B$5,2,FALSE)),""))</f>
        <v/>
      </c>
      <c r="N122" s="5">
        <f>IF(OR(L122="",M122=""),"",IF(L122&gt;=M122,"C","NC"))</f>
        <v/>
      </c>
      <c r="O122" s="3" t="n"/>
      <c r="P122" s="3" t="n"/>
      <c r="Q122" s="5">
        <f>IF(OR(O122="",P122=""),"",ROUND(O122-P122,2))</f>
        <v/>
      </c>
      <c r="R122" s="5">
        <f>IF(Q122="","",IF(Q122&gt;=Referencia!$B$8,"C","NC"))</f>
        <v/>
      </c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5">
        <f>IF(F122="","",(N122="NC")+(R122="NC")+(S122="Não")+(S122="Parcial")+(T122="Sim")+(U122="Sim")+(V122="Sim")+(W122="Sim")+(X122="Sim"))</f>
        <v/>
      </c>
      <c r="AB122" s="5">
        <f>IF(AA122="","",IF(AA122&gt;0,"Sim","Não"))</f>
        <v/>
      </c>
      <c r="AC122" s="3" t="n"/>
      <c r="AD122" s="3" t="n"/>
    </row>
    <row r="123">
      <c r="A123" s="3" t="n"/>
      <c r="B123" s="3" t="n"/>
      <c r="C123" s="4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5">
        <f>IF(H123&lt;&gt;"",H123,IF(AND(I123&lt;&gt;"",J123&lt;&gt;""),ROUND(I123*TAN(RADIANS(J123))+IF(K123="",1.6,K123),2),""))</f>
        <v/>
      </c>
      <c r="M123" s="5">
        <f>IF(D123="","",IFERROR(IF(VLOOKUP(D123,Referencia!$A$2:$B$5,2,FALSE)="","",VLOOKUP(D123,Referencia!$A$2:$B$5,2,FALSE)),""))</f>
        <v/>
      </c>
      <c r="N123" s="5">
        <f>IF(OR(L123="",M123=""),"",IF(L123&gt;=M123,"C","NC"))</f>
        <v/>
      </c>
      <c r="O123" s="3" t="n"/>
      <c r="P123" s="3" t="n"/>
      <c r="Q123" s="5">
        <f>IF(OR(O123="",P123=""),"",ROUND(O123-P123,2))</f>
        <v/>
      </c>
      <c r="R123" s="5">
        <f>IF(Q123="","",IF(Q123&gt;=Referencia!$B$8,"C","NC"))</f>
        <v/>
      </c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5">
        <f>IF(F123="","",(N123="NC")+(R123="NC")+(S123="Não")+(S123="Parcial")+(T123="Sim")+(U123="Sim")+(V123="Sim")+(W123="Sim")+(X123="Sim"))</f>
        <v/>
      </c>
      <c r="AB123" s="5">
        <f>IF(AA123="","",IF(AA123&gt;0,"Sim","Não"))</f>
        <v/>
      </c>
      <c r="AC123" s="3" t="n"/>
      <c r="AD123" s="3" t="n"/>
    </row>
    <row r="124">
      <c r="A124" s="3" t="n"/>
      <c r="B124" s="3" t="n"/>
      <c r="C124" s="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5">
        <f>IF(H124&lt;&gt;"",H124,IF(AND(I124&lt;&gt;"",J124&lt;&gt;""),ROUND(I124*TAN(RADIANS(J124))+IF(K124="",1.6,K124),2),""))</f>
        <v/>
      </c>
      <c r="M124" s="5">
        <f>IF(D124="","",IFERROR(IF(VLOOKUP(D124,Referencia!$A$2:$B$5,2,FALSE)="","",VLOOKUP(D124,Referencia!$A$2:$B$5,2,FALSE)),""))</f>
        <v/>
      </c>
      <c r="N124" s="5">
        <f>IF(OR(L124="",M124=""),"",IF(L124&gt;=M124,"C","NC"))</f>
        <v/>
      </c>
      <c r="O124" s="3" t="n"/>
      <c r="P124" s="3" t="n"/>
      <c r="Q124" s="5">
        <f>IF(OR(O124="",P124=""),"",ROUND(O124-P124,2))</f>
        <v/>
      </c>
      <c r="R124" s="5">
        <f>IF(Q124="","",IF(Q124&gt;=Referencia!$B$8,"C","NC"))</f>
        <v/>
      </c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5">
        <f>IF(F124="","",(N124="NC")+(R124="NC")+(S124="Não")+(S124="Parcial")+(T124="Sim")+(U124="Sim")+(V124="Sim")+(W124="Sim")+(X124="Sim"))</f>
        <v/>
      </c>
      <c r="AB124" s="5">
        <f>IF(AA124="","",IF(AA124&gt;0,"Sim","Não"))</f>
        <v/>
      </c>
      <c r="AC124" s="3" t="n"/>
      <c r="AD124" s="3" t="n"/>
    </row>
    <row r="125">
      <c r="A125" s="3" t="n"/>
      <c r="B125" s="3" t="n"/>
      <c r="C125" s="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5">
        <f>IF(H125&lt;&gt;"",H125,IF(AND(I125&lt;&gt;"",J125&lt;&gt;""),ROUND(I125*TAN(RADIANS(J125))+IF(K125="",1.6,K125),2),""))</f>
        <v/>
      </c>
      <c r="M125" s="5">
        <f>IF(D125="","",IFERROR(IF(VLOOKUP(D125,Referencia!$A$2:$B$5,2,FALSE)="","",VLOOKUP(D125,Referencia!$A$2:$B$5,2,FALSE)),""))</f>
        <v/>
      </c>
      <c r="N125" s="5">
        <f>IF(OR(L125="",M125=""),"",IF(L125&gt;=M125,"C","NC"))</f>
        <v/>
      </c>
      <c r="O125" s="3" t="n"/>
      <c r="P125" s="3" t="n"/>
      <c r="Q125" s="5">
        <f>IF(OR(O125="",P125=""),"",ROUND(O125-P125,2))</f>
        <v/>
      </c>
      <c r="R125" s="5">
        <f>IF(Q125="","",IF(Q125&gt;=Referencia!$B$8,"C","NC"))</f>
        <v/>
      </c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5">
        <f>IF(F125="","",(N125="NC")+(R125="NC")+(S125="Não")+(S125="Parcial")+(T125="Sim")+(U125="Sim")+(V125="Sim")+(W125="Sim")+(X125="Sim"))</f>
        <v/>
      </c>
      <c r="AB125" s="5">
        <f>IF(AA125="","",IF(AA125&gt;0,"Sim","Não"))</f>
        <v/>
      </c>
      <c r="AC125" s="3" t="n"/>
      <c r="AD125" s="3" t="n"/>
    </row>
    <row r="126">
      <c r="A126" s="3" t="n"/>
      <c r="B126" s="3" t="n"/>
      <c r="C126" s="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5">
        <f>IF(H126&lt;&gt;"",H126,IF(AND(I126&lt;&gt;"",J126&lt;&gt;""),ROUND(I126*TAN(RADIANS(J126))+IF(K126="",1.6,K126),2),""))</f>
        <v/>
      </c>
      <c r="M126" s="5">
        <f>IF(D126="","",IFERROR(IF(VLOOKUP(D126,Referencia!$A$2:$B$5,2,FALSE)="","",VLOOKUP(D126,Referencia!$A$2:$B$5,2,FALSE)),""))</f>
        <v/>
      </c>
      <c r="N126" s="5">
        <f>IF(OR(L126="",M126=""),"",IF(L126&gt;=M126,"C","NC"))</f>
        <v/>
      </c>
      <c r="O126" s="3" t="n"/>
      <c r="P126" s="3" t="n"/>
      <c r="Q126" s="5">
        <f>IF(OR(O126="",P126=""),"",ROUND(O126-P126,2))</f>
        <v/>
      </c>
      <c r="R126" s="5">
        <f>IF(Q126="","",IF(Q126&gt;=Referencia!$B$8,"C","NC"))</f>
        <v/>
      </c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5">
        <f>IF(F126="","",(N126="NC")+(R126="NC")+(S126="Não")+(S126="Parcial")+(T126="Sim")+(U126="Sim")+(V126="Sim")+(W126="Sim")+(X126="Sim"))</f>
        <v/>
      </c>
      <c r="AB126" s="5">
        <f>IF(AA126="","",IF(AA126&gt;0,"Sim","Não"))</f>
        <v/>
      </c>
      <c r="AC126" s="3" t="n"/>
      <c r="AD126" s="3" t="n"/>
    </row>
    <row r="127">
      <c r="A127" s="3" t="n"/>
      <c r="B127" s="3" t="n"/>
      <c r="C127" s="4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5">
        <f>IF(H127&lt;&gt;"",H127,IF(AND(I127&lt;&gt;"",J127&lt;&gt;""),ROUND(I127*TAN(RADIANS(J127))+IF(K127="",1.6,K127),2),""))</f>
        <v/>
      </c>
      <c r="M127" s="5">
        <f>IF(D127="","",IFERROR(IF(VLOOKUP(D127,Referencia!$A$2:$B$5,2,FALSE)="","",VLOOKUP(D127,Referencia!$A$2:$B$5,2,FALSE)),""))</f>
        <v/>
      </c>
      <c r="N127" s="5">
        <f>IF(OR(L127="",M127=""),"",IF(L127&gt;=M127,"C","NC"))</f>
        <v/>
      </c>
      <c r="O127" s="3" t="n"/>
      <c r="P127" s="3" t="n"/>
      <c r="Q127" s="5">
        <f>IF(OR(O127="",P127=""),"",ROUND(O127-P127,2))</f>
        <v/>
      </c>
      <c r="R127" s="5">
        <f>IF(Q127="","",IF(Q127&gt;=Referencia!$B$8,"C","NC"))</f>
        <v/>
      </c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5">
        <f>IF(F127="","",(N127="NC")+(R127="NC")+(S127="Não")+(S127="Parcial")+(T127="Sim")+(U127="Sim")+(V127="Sim")+(W127="Sim")+(X127="Sim"))</f>
        <v/>
      </c>
      <c r="AB127" s="5">
        <f>IF(AA127="","",IF(AA127&gt;0,"Sim","Não"))</f>
        <v/>
      </c>
      <c r="AC127" s="3" t="n"/>
      <c r="AD127" s="3" t="n"/>
    </row>
    <row r="128">
      <c r="A128" s="3" t="n"/>
      <c r="B128" s="3" t="n"/>
      <c r="C128" s="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5">
        <f>IF(H128&lt;&gt;"",H128,IF(AND(I128&lt;&gt;"",J128&lt;&gt;""),ROUND(I128*TAN(RADIANS(J128))+IF(K128="",1.6,K128),2),""))</f>
        <v/>
      </c>
      <c r="M128" s="5">
        <f>IF(D128="","",IFERROR(IF(VLOOKUP(D128,Referencia!$A$2:$B$5,2,FALSE)="","",VLOOKUP(D128,Referencia!$A$2:$B$5,2,FALSE)),""))</f>
        <v/>
      </c>
      <c r="N128" s="5">
        <f>IF(OR(L128="",M128=""),"",IF(L128&gt;=M128,"C","NC"))</f>
        <v/>
      </c>
      <c r="O128" s="3" t="n"/>
      <c r="P128" s="3" t="n"/>
      <c r="Q128" s="5">
        <f>IF(OR(O128="",P128=""),"",ROUND(O128-P128,2))</f>
        <v/>
      </c>
      <c r="R128" s="5">
        <f>IF(Q128="","",IF(Q128&gt;=Referencia!$B$8,"C","NC"))</f>
        <v/>
      </c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5">
        <f>IF(F128="","",(N128="NC")+(R128="NC")+(S128="Não")+(S128="Parcial")+(T128="Sim")+(U128="Sim")+(V128="Sim")+(W128="Sim")+(X128="Sim"))</f>
        <v/>
      </c>
      <c r="AB128" s="5">
        <f>IF(AA128="","",IF(AA128&gt;0,"Sim","Não"))</f>
        <v/>
      </c>
      <c r="AC128" s="3" t="n"/>
      <c r="AD128" s="3" t="n"/>
    </row>
    <row r="129">
      <c r="A129" s="3" t="n"/>
      <c r="B129" s="3" t="n"/>
      <c r="C129" s="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5">
        <f>IF(H129&lt;&gt;"",H129,IF(AND(I129&lt;&gt;"",J129&lt;&gt;""),ROUND(I129*TAN(RADIANS(J129))+IF(K129="",1.6,K129),2),""))</f>
        <v/>
      </c>
      <c r="M129" s="5">
        <f>IF(D129="","",IFERROR(IF(VLOOKUP(D129,Referencia!$A$2:$B$5,2,FALSE)="","",VLOOKUP(D129,Referencia!$A$2:$B$5,2,FALSE)),""))</f>
        <v/>
      </c>
      <c r="N129" s="5">
        <f>IF(OR(L129="",M129=""),"",IF(L129&gt;=M129,"C","NC"))</f>
        <v/>
      </c>
      <c r="O129" s="3" t="n"/>
      <c r="P129" s="3" t="n"/>
      <c r="Q129" s="5">
        <f>IF(OR(O129="",P129=""),"",ROUND(O129-P129,2))</f>
        <v/>
      </c>
      <c r="R129" s="5">
        <f>IF(Q129="","",IF(Q129&gt;=Referencia!$B$8,"C","NC"))</f>
        <v/>
      </c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5">
        <f>IF(F129="","",(N129="NC")+(R129="NC")+(S129="Não")+(S129="Parcial")+(T129="Sim")+(U129="Sim")+(V129="Sim")+(W129="Sim")+(X129="Sim"))</f>
        <v/>
      </c>
      <c r="AB129" s="5">
        <f>IF(AA129="","",IF(AA129&gt;0,"Sim","Não"))</f>
        <v/>
      </c>
      <c r="AC129" s="3" t="n"/>
      <c r="AD129" s="3" t="n"/>
    </row>
    <row r="130">
      <c r="A130" s="3" t="n"/>
      <c r="B130" s="3" t="n"/>
      <c r="C130" s="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5">
        <f>IF(H130&lt;&gt;"",H130,IF(AND(I130&lt;&gt;"",J130&lt;&gt;""),ROUND(I130*TAN(RADIANS(J130))+IF(K130="",1.6,K130),2),""))</f>
        <v/>
      </c>
      <c r="M130" s="5">
        <f>IF(D130="","",IFERROR(IF(VLOOKUP(D130,Referencia!$A$2:$B$5,2,FALSE)="","",VLOOKUP(D130,Referencia!$A$2:$B$5,2,FALSE)),""))</f>
        <v/>
      </c>
      <c r="N130" s="5">
        <f>IF(OR(L130="",M130=""),"",IF(L130&gt;=M130,"C","NC"))</f>
        <v/>
      </c>
      <c r="O130" s="3" t="n"/>
      <c r="P130" s="3" t="n"/>
      <c r="Q130" s="5">
        <f>IF(OR(O130="",P130=""),"",ROUND(O130-P130,2))</f>
        <v/>
      </c>
      <c r="R130" s="5">
        <f>IF(Q130="","",IF(Q130&gt;=Referencia!$B$8,"C","NC"))</f>
        <v/>
      </c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5">
        <f>IF(F130="","",(N130="NC")+(R130="NC")+(S130="Não")+(S130="Parcial")+(T130="Sim")+(U130="Sim")+(V130="Sim")+(W130="Sim")+(X130="Sim"))</f>
        <v/>
      </c>
      <c r="AB130" s="5">
        <f>IF(AA130="","",IF(AA130&gt;0,"Sim","Não"))</f>
        <v/>
      </c>
      <c r="AC130" s="3" t="n"/>
      <c r="AD130" s="3" t="n"/>
    </row>
    <row r="131">
      <c r="A131" s="3" t="n"/>
      <c r="B131" s="3" t="n"/>
      <c r="C131" s="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5">
        <f>IF(H131&lt;&gt;"",H131,IF(AND(I131&lt;&gt;"",J131&lt;&gt;""),ROUND(I131*TAN(RADIANS(J131))+IF(K131="",1.6,K131),2),""))</f>
        <v/>
      </c>
      <c r="M131" s="5">
        <f>IF(D131="","",IFERROR(IF(VLOOKUP(D131,Referencia!$A$2:$B$5,2,FALSE)="","",VLOOKUP(D131,Referencia!$A$2:$B$5,2,FALSE)),""))</f>
        <v/>
      </c>
      <c r="N131" s="5">
        <f>IF(OR(L131="",M131=""),"",IF(L131&gt;=M131,"C","NC"))</f>
        <v/>
      </c>
      <c r="O131" s="3" t="n"/>
      <c r="P131" s="3" t="n"/>
      <c r="Q131" s="5">
        <f>IF(OR(O131="",P131=""),"",ROUND(O131-P131,2))</f>
        <v/>
      </c>
      <c r="R131" s="5">
        <f>IF(Q131="","",IF(Q131&gt;=Referencia!$B$8,"C","NC"))</f>
        <v/>
      </c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5">
        <f>IF(F131="","",(N131="NC")+(R131="NC")+(S131="Não")+(S131="Parcial")+(T131="Sim")+(U131="Sim")+(V131="Sim")+(W131="Sim")+(X131="Sim"))</f>
        <v/>
      </c>
      <c r="AB131" s="5">
        <f>IF(AA131="","",IF(AA131&gt;0,"Sim","Não"))</f>
        <v/>
      </c>
      <c r="AC131" s="3" t="n"/>
      <c r="AD131" s="3" t="n"/>
    </row>
    <row r="132">
      <c r="A132" s="3" t="n"/>
      <c r="B132" s="3" t="n"/>
      <c r="C132" s="4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5">
        <f>IF(H132&lt;&gt;"",H132,IF(AND(I132&lt;&gt;"",J132&lt;&gt;""),ROUND(I132*TAN(RADIANS(J132))+IF(K132="",1.6,K132),2),""))</f>
        <v/>
      </c>
      <c r="M132" s="5">
        <f>IF(D132="","",IFERROR(IF(VLOOKUP(D132,Referencia!$A$2:$B$5,2,FALSE)="","",VLOOKUP(D132,Referencia!$A$2:$B$5,2,FALSE)),""))</f>
        <v/>
      </c>
      <c r="N132" s="5">
        <f>IF(OR(L132="",M132=""),"",IF(L132&gt;=M132,"C","NC"))</f>
        <v/>
      </c>
      <c r="O132" s="3" t="n"/>
      <c r="P132" s="3" t="n"/>
      <c r="Q132" s="5">
        <f>IF(OR(O132="",P132=""),"",ROUND(O132-P132,2))</f>
        <v/>
      </c>
      <c r="R132" s="5">
        <f>IF(Q132="","",IF(Q132&gt;=Referencia!$B$8,"C","NC"))</f>
        <v/>
      </c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5">
        <f>IF(F132="","",(N132="NC")+(R132="NC")+(S132="Não")+(S132="Parcial")+(T132="Sim")+(U132="Sim")+(V132="Sim")+(W132="Sim")+(X132="Sim"))</f>
        <v/>
      </c>
      <c r="AB132" s="5">
        <f>IF(AA132="","",IF(AA132&gt;0,"Sim","Não"))</f>
        <v/>
      </c>
      <c r="AC132" s="3" t="n"/>
      <c r="AD132" s="3" t="n"/>
    </row>
    <row r="133">
      <c r="A133" s="3" t="n"/>
      <c r="B133" s="3" t="n"/>
      <c r="C133" s="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5">
        <f>IF(H133&lt;&gt;"",H133,IF(AND(I133&lt;&gt;"",J133&lt;&gt;""),ROUND(I133*TAN(RADIANS(J133))+IF(K133="",1.6,K133),2),""))</f>
        <v/>
      </c>
      <c r="M133" s="5">
        <f>IF(D133="","",IFERROR(IF(VLOOKUP(D133,Referencia!$A$2:$B$5,2,FALSE)="","",VLOOKUP(D133,Referencia!$A$2:$B$5,2,FALSE)),""))</f>
        <v/>
      </c>
      <c r="N133" s="5">
        <f>IF(OR(L133="",M133=""),"",IF(L133&gt;=M133,"C","NC"))</f>
        <v/>
      </c>
      <c r="O133" s="3" t="n"/>
      <c r="P133" s="3" t="n"/>
      <c r="Q133" s="5">
        <f>IF(OR(O133="",P133=""),"",ROUND(O133-P133,2))</f>
        <v/>
      </c>
      <c r="R133" s="5">
        <f>IF(Q133="","",IF(Q133&gt;=Referencia!$B$8,"C","NC"))</f>
        <v/>
      </c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5">
        <f>IF(F133="","",(N133="NC")+(R133="NC")+(S133="Não")+(S133="Parcial")+(T133="Sim")+(U133="Sim")+(V133="Sim")+(W133="Sim")+(X133="Sim"))</f>
        <v/>
      </c>
      <c r="AB133" s="5">
        <f>IF(AA133="","",IF(AA133&gt;0,"Sim","Não"))</f>
        <v/>
      </c>
      <c r="AC133" s="3" t="n"/>
      <c r="AD133" s="3" t="n"/>
    </row>
    <row r="134">
      <c r="A134" s="3" t="n"/>
      <c r="B134" s="3" t="n"/>
      <c r="C134" s="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5">
        <f>IF(H134&lt;&gt;"",H134,IF(AND(I134&lt;&gt;"",J134&lt;&gt;""),ROUND(I134*TAN(RADIANS(J134))+IF(K134="",1.6,K134),2),""))</f>
        <v/>
      </c>
      <c r="M134" s="5">
        <f>IF(D134="","",IFERROR(IF(VLOOKUP(D134,Referencia!$A$2:$B$5,2,FALSE)="","",VLOOKUP(D134,Referencia!$A$2:$B$5,2,FALSE)),""))</f>
        <v/>
      </c>
      <c r="N134" s="5">
        <f>IF(OR(L134="",M134=""),"",IF(L134&gt;=M134,"C","NC"))</f>
        <v/>
      </c>
      <c r="O134" s="3" t="n"/>
      <c r="P134" s="3" t="n"/>
      <c r="Q134" s="5">
        <f>IF(OR(O134="",P134=""),"",ROUND(O134-P134,2))</f>
        <v/>
      </c>
      <c r="R134" s="5">
        <f>IF(Q134="","",IF(Q134&gt;=Referencia!$B$8,"C","NC"))</f>
        <v/>
      </c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5">
        <f>IF(F134="","",(N134="NC")+(R134="NC")+(S134="Não")+(S134="Parcial")+(T134="Sim")+(U134="Sim")+(V134="Sim")+(W134="Sim")+(X134="Sim"))</f>
        <v/>
      </c>
      <c r="AB134" s="5">
        <f>IF(AA134="","",IF(AA134&gt;0,"Sim","Não"))</f>
        <v/>
      </c>
      <c r="AC134" s="3" t="n"/>
      <c r="AD134" s="3" t="n"/>
    </row>
    <row r="135">
      <c r="A135" s="3" t="n"/>
      <c r="B135" s="3" t="n"/>
      <c r="C135" s="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5">
        <f>IF(H135&lt;&gt;"",H135,IF(AND(I135&lt;&gt;"",J135&lt;&gt;""),ROUND(I135*TAN(RADIANS(J135))+IF(K135="",1.6,K135),2),""))</f>
        <v/>
      </c>
      <c r="M135" s="5">
        <f>IF(D135="","",IFERROR(IF(VLOOKUP(D135,Referencia!$A$2:$B$5,2,FALSE)="","",VLOOKUP(D135,Referencia!$A$2:$B$5,2,FALSE)),""))</f>
        <v/>
      </c>
      <c r="N135" s="5">
        <f>IF(OR(L135="",M135=""),"",IF(L135&gt;=M135,"C","NC"))</f>
        <v/>
      </c>
      <c r="O135" s="3" t="n"/>
      <c r="P135" s="3" t="n"/>
      <c r="Q135" s="5">
        <f>IF(OR(O135="",P135=""),"",ROUND(O135-P135,2))</f>
        <v/>
      </c>
      <c r="R135" s="5">
        <f>IF(Q135="","",IF(Q135&gt;=Referencia!$B$8,"C","NC"))</f>
        <v/>
      </c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5">
        <f>IF(F135="","",(N135="NC")+(R135="NC")+(S135="Não")+(S135="Parcial")+(T135="Sim")+(U135="Sim")+(V135="Sim")+(W135="Sim")+(X135="Sim"))</f>
        <v/>
      </c>
      <c r="AB135" s="5">
        <f>IF(AA135="","",IF(AA135&gt;0,"Sim","Não"))</f>
        <v/>
      </c>
      <c r="AC135" s="3" t="n"/>
      <c r="AD135" s="3" t="n"/>
    </row>
    <row r="136">
      <c r="A136" s="3" t="n"/>
      <c r="B136" s="3" t="n"/>
      <c r="C136" s="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5">
        <f>IF(H136&lt;&gt;"",H136,IF(AND(I136&lt;&gt;"",J136&lt;&gt;""),ROUND(I136*TAN(RADIANS(J136))+IF(K136="",1.6,K136),2),""))</f>
        <v/>
      </c>
      <c r="M136" s="5">
        <f>IF(D136="","",IFERROR(IF(VLOOKUP(D136,Referencia!$A$2:$B$5,2,FALSE)="","",VLOOKUP(D136,Referencia!$A$2:$B$5,2,FALSE)),""))</f>
        <v/>
      </c>
      <c r="N136" s="5">
        <f>IF(OR(L136="",M136=""),"",IF(L136&gt;=M136,"C","NC"))</f>
        <v/>
      </c>
      <c r="O136" s="3" t="n"/>
      <c r="P136" s="3" t="n"/>
      <c r="Q136" s="5">
        <f>IF(OR(O136="",P136=""),"",ROUND(O136-P136,2))</f>
        <v/>
      </c>
      <c r="R136" s="5">
        <f>IF(Q136="","",IF(Q136&gt;=Referencia!$B$8,"C","NC"))</f>
        <v/>
      </c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5">
        <f>IF(F136="","",(N136="NC")+(R136="NC")+(S136="Não")+(S136="Parcial")+(T136="Sim")+(U136="Sim")+(V136="Sim")+(W136="Sim")+(X136="Sim"))</f>
        <v/>
      </c>
      <c r="AB136" s="5">
        <f>IF(AA136="","",IF(AA136&gt;0,"Sim","Não"))</f>
        <v/>
      </c>
      <c r="AC136" s="3" t="n"/>
      <c r="AD136" s="3" t="n"/>
    </row>
    <row r="137">
      <c r="A137" s="3" t="n"/>
      <c r="B137" s="3" t="n"/>
      <c r="C137" s="4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5">
        <f>IF(H137&lt;&gt;"",H137,IF(AND(I137&lt;&gt;"",J137&lt;&gt;""),ROUND(I137*TAN(RADIANS(J137))+IF(K137="",1.6,K137),2),""))</f>
        <v/>
      </c>
      <c r="M137" s="5">
        <f>IF(D137="","",IFERROR(IF(VLOOKUP(D137,Referencia!$A$2:$B$5,2,FALSE)="","",VLOOKUP(D137,Referencia!$A$2:$B$5,2,FALSE)),""))</f>
        <v/>
      </c>
      <c r="N137" s="5">
        <f>IF(OR(L137="",M137=""),"",IF(L137&gt;=M137,"C","NC"))</f>
        <v/>
      </c>
      <c r="O137" s="3" t="n"/>
      <c r="P137" s="3" t="n"/>
      <c r="Q137" s="5">
        <f>IF(OR(O137="",P137=""),"",ROUND(O137-P137,2))</f>
        <v/>
      </c>
      <c r="R137" s="5">
        <f>IF(Q137="","",IF(Q137&gt;=Referencia!$B$8,"C","NC"))</f>
        <v/>
      </c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5">
        <f>IF(F137="","",(N137="NC")+(R137="NC")+(S137="Não")+(S137="Parcial")+(T137="Sim")+(U137="Sim")+(V137="Sim")+(W137="Sim")+(X137="Sim"))</f>
        <v/>
      </c>
      <c r="AB137" s="5">
        <f>IF(AA137="","",IF(AA137&gt;0,"Sim","Não"))</f>
        <v/>
      </c>
      <c r="AC137" s="3" t="n"/>
      <c r="AD137" s="3" t="n"/>
    </row>
    <row r="138">
      <c r="A138" s="3" t="n"/>
      <c r="B138" s="3" t="n"/>
      <c r="C138" s="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5">
        <f>IF(H138&lt;&gt;"",H138,IF(AND(I138&lt;&gt;"",J138&lt;&gt;""),ROUND(I138*TAN(RADIANS(J138))+IF(K138="",1.6,K138),2),""))</f>
        <v/>
      </c>
      <c r="M138" s="5">
        <f>IF(D138="","",IFERROR(IF(VLOOKUP(D138,Referencia!$A$2:$B$5,2,FALSE)="","",VLOOKUP(D138,Referencia!$A$2:$B$5,2,FALSE)),""))</f>
        <v/>
      </c>
      <c r="N138" s="5">
        <f>IF(OR(L138="",M138=""),"",IF(L138&gt;=M138,"C","NC"))</f>
        <v/>
      </c>
      <c r="O138" s="3" t="n"/>
      <c r="P138" s="3" t="n"/>
      <c r="Q138" s="5">
        <f>IF(OR(O138="",P138=""),"",ROUND(O138-P138,2))</f>
        <v/>
      </c>
      <c r="R138" s="5">
        <f>IF(Q138="","",IF(Q138&gt;=Referencia!$B$8,"C","NC"))</f>
        <v/>
      </c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5">
        <f>IF(F138="","",(N138="NC")+(R138="NC")+(S138="Não")+(S138="Parcial")+(T138="Sim")+(U138="Sim")+(V138="Sim")+(W138="Sim")+(X138="Sim"))</f>
        <v/>
      </c>
      <c r="AB138" s="5">
        <f>IF(AA138="","",IF(AA138&gt;0,"Sim","Não"))</f>
        <v/>
      </c>
      <c r="AC138" s="3" t="n"/>
      <c r="AD138" s="3" t="n"/>
    </row>
    <row r="139">
      <c r="A139" s="3" t="n"/>
      <c r="B139" s="3" t="n"/>
      <c r="C139" s="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5">
        <f>IF(H139&lt;&gt;"",H139,IF(AND(I139&lt;&gt;"",J139&lt;&gt;""),ROUND(I139*TAN(RADIANS(J139))+IF(K139="",1.6,K139),2),""))</f>
        <v/>
      </c>
      <c r="M139" s="5">
        <f>IF(D139="","",IFERROR(IF(VLOOKUP(D139,Referencia!$A$2:$B$5,2,FALSE)="","",VLOOKUP(D139,Referencia!$A$2:$B$5,2,FALSE)),""))</f>
        <v/>
      </c>
      <c r="N139" s="5">
        <f>IF(OR(L139="",M139=""),"",IF(L139&gt;=M139,"C","NC"))</f>
        <v/>
      </c>
      <c r="O139" s="3" t="n"/>
      <c r="P139" s="3" t="n"/>
      <c r="Q139" s="5">
        <f>IF(OR(O139="",P139=""),"",ROUND(O139-P139,2))</f>
        <v/>
      </c>
      <c r="R139" s="5">
        <f>IF(Q139="","",IF(Q139&gt;=Referencia!$B$8,"C","NC"))</f>
        <v/>
      </c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5">
        <f>IF(F139="","",(N139="NC")+(R139="NC")+(S139="Não")+(S139="Parcial")+(T139="Sim")+(U139="Sim")+(V139="Sim")+(W139="Sim")+(X139="Sim"))</f>
        <v/>
      </c>
      <c r="AB139" s="5">
        <f>IF(AA139="","",IF(AA139&gt;0,"Sim","Não"))</f>
        <v/>
      </c>
      <c r="AC139" s="3" t="n"/>
      <c r="AD139" s="3" t="n"/>
    </row>
    <row r="140">
      <c r="A140" s="3" t="n"/>
      <c r="B140" s="3" t="n"/>
      <c r="C140" s="4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5">
        <f>IF(H140&lt;&gt;"",H140,IF(AND(I140&lt;&gt;"",J140&lt;&gt;""),ROUND(I140*TAN(RADIANS(J140))+IF(K140="",1.6,K140),2),""))</f>
        <v/>
      </c>
      <c r="M140" s="5">
        <f>IF(D140="","",IFERROR(IF(VLOOKUP(D140,Referencia!$A$2:$B$5,2,FALSE)="","",VLOOKUP(D140,Referencia!$A$2:$B$5,2,FALSE)),""))</f>
        <v/>
      </c>
      <c r="N140" s="5">
        <f>IF(OR(L140="",M140=""),"",IF(L140&gt;=M140,"C","NC"))</f>
        <v/>
      </c>
      <c r="O140" s="3" t="n"/>
      <c r="P140" s="3" t="n"/>
      <c r="Q140" s="5">
        <f>IF(OR(O140="",P140=""),"",ROUND(O140-P140,2))</f>
        <v/>
      </c>
      <c r="R140" s="5">
        <f>IF(Q140="","",IF(Q140&gt;=Referencia!$B$8,"C","NC"))</f>
        <v/>
      </c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5">
        <f>IF(F140="","",(N140="NC")+(R140="NC")+(S140="Não")+(S140="Parcial")+(T140="Sim")+(U140="Sim")+(V140="Sim")+(W140="Sim")+(X140="Sim"))</f>
        <v/>
      </c>
      <c r="AB140" s="5">
        <f>IF(AA140="","",IF(AA140&gt;0,"Sim","Não"))</f>
        <v/>
      </c>
      <c r="AC140" s="3" t="n"/>
      <c r="AD140" s="3" t="n"/>
    </row>
    <row r="141">
      <c r="A141" s="3" t="n"/>
      <c r="B141" s="3" t="n"/>
      <c r="C141" s="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5">
        <f>IF(H141&lt;&gt;"",H141,IF(AND(I141&lt;&gt;"",J141&lt;&gt;""),ROUND(I141*TAN(RADIANS(J141))+IF(K141="",1.6,K141),2),""))</f>
        <v/>
      </c>
      <c r="M141" s="5">
        <f>IF(D141="","",IFERROR(IF(VLOOKUP(D141,Referencia!$A$2:$B$5,2,FALSE)="","",VLOOKUP(D141,Referencia!$A$2:$B$5,2,FALSE)),""))</f>
        <v/>
      </c>
      <c r="N141" s="5">
        <f>IF(OR(L141="",M141=""),"",IF(L141&gt;=M141,"C","NC"))</f>
        <v/>
      </c>
      <c r="O141" s="3" t="n"/>
      <c r="P141" s="3" t="n"/>
      <c r="Q141" s="5">
        <f>IF(OR(O141="",P141=""),"",ROUND(O141-P141,2))</f>
        <v/>
      </c>
      <c r="R141" s="5">
        <f>IF(Q141="","",IF(Q141&gt;=Referencia!$B$8,"C","NC"))</f>
        <v/>
      </c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5">
        <f>IF(F141="","",(N141="NC")+(R141="NC")+(S141="Não")+(S141="Parcial")+(T141="Sim")+(U141="Sim")+(V141="Sim")+(W141="Sim")+(X141="Sim"))</f>
        <v/>
      </c>
      <c r="AB141" s="5">
        <f>IF(AA141="","",IF(AA141&gt;0,"Sim","Não"))</f>
        <v/>
      </c>
      <c r="AC141" s="3" t="n"/>
      <c r="AD141" s="3" t="n"/>
    </row>
    <row r="142">
      <c r="A142" s="3" t="n"/>
      <c r="B142" s="3" t="n"/>
      <c r="C142" s="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5">
        <f>IF(H142&lt;&gt;"",H142,IF(AND(I142&lt;&gt;"",J142&lt;&gt;""),ROUND(I142*TAN(RADIANS(J142))+IF(K142="",1.6,K142),2),""))</f>
        <v/>
      </c>
      <c r="M142" s="5">
        <f>IF(D142="","",IFERROR(IF(VLOOKUP(D142,Referencia!$A$2:$B$5,2,FALSE)="","",VLOOKUP(D142,Referencia!$A$2:$B$5,2,FALSE)),""))</f>
        <v/>
      </c>
      <c r="N142" s="5">
        <f>IF(OR(L142="",M142=""),"",IF(L142&gt;=M142,"C","NC"))</f>
        <v/>
      </c>
      <c r="O142" s="3" t="n"/>
      <c r="P142" s="3" t="n"/>
      <c r="Q142" s="5">
        <f>IF(OR(O142="",P142=""),"",ROUND(O142-P142,2))</f>
        <v/>
      </c>
      <c r="R142" s="5">
        <f>IF(Q142="","",IF(Q142&gt;=Referencia!$B$8,"C","NC"))</f>
        <v/>
      </c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5">
        <f>IF(F142="","",(N142="NC")+(R142="NC")+(S142="Não")+(S142="Parcial")+(T142="Sim")+(U142="Sim")+(V142="Sim")+(W142="Sim")+(X142="Sim"))</f>
        <v/>
      </c>
      <c r="AB142" s="5">
        <f>IF(AA142="","",IF(AA142&gt;0,"Sim","Não"))</f>
        <v/>
      </c>
      <c r="AC142" s="3" t="n"/>
      <c r="AD142" s="3" t="n"/>
    </row>
    <row r="143">
      <c r="A143" s="3" t="n"/>
      <c r="B143" s="3" t="n"/>
      <c r="C143" s="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5">
        <f>IF(H143&lt;&gt;"",H143,IF(AND(I143&lt;&gt;"",J143&lt;&gt;""),ROUND(I143*TAN(RADIANS(J143))+IF(K143="",1.6,K143),2),""))</f>
        <v/>
      </c>
      <c r="M143" s="5">
        <f>IF(D143="","",IFERROR(IF(VLOOKUP(D143,Referencia!$A$2:$B$5,2,FALSE)="","",VLOOKUP(D143,Referencia!$A$2:$B$5,2,FALSE)),""))</f>
        <v/>
      </c>
      <c r="N143" s="5">
        <f>IF(OR(L143="",M143=""),"",IF(L143&gt;=M143,"C","NC"))</f>
        <v/>
      </c>
      <c r="O143" s="3" t="n"/>
      <c r="P143" s="3" t="n"/>
      <c r="Q143" s="5">
        <f>IF(OR(O143="",P143=""),"",ROUND(O143-P143,2))</f>
        <v/>
      </c>
      <c r="R143" s="5">
        <f>IF(Q143="","",IF(Q143&gt;=Referencia!$B$8,"C","NC"))</f>
        <v/>
      </c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5">
        <f>IF(F143="","",(N143="NC")+(R143="NC")+(S143="Não")+(S143="Parcial")+(T143="Sim")+(U143="Sim")+(V143="Sim")+(W143="Sim")+(X143="Sim"))</f>
        <v/>
      </c>
      <c r="AB143" s="5">
        <f>IF(AA143="","",IF(AA143&gt;0,"Sim","Não"))</f>
        <v/>
      </c>
      <c r="AC143" s="3" t="n"/>
      <c r="AD143" s="3" t="n"/>
    </row>
    <row r="144">
      <c r="A144" s="3" t="n"/>
      <c r="B144" s="3" t="n"/>
      <c r="C144" s="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5">
        <f>IF(H144&lt;&gt;"",H144,IF(AND(I144&lt;&gt;"",J144&lt;&gt;""),ROUND(I144*TAN(RADIANS(J144))+IF(K144="",1.6,K144),2),""))</f>
        <v/>
      </c>
      <c r="M144" s="5">
        <f>IF(D144="","",IFERROR(IF(VLOOKUP(D144,Referencia!$A$2:$B$5,2,FALSE)="","",VLOOKUP(D144,Referencia!$A$2:$B$5,2,FALSE)),""))</f>
        <v/>
      </c>
      <c r="N144" s="5">
        <f>IF(OR(L144="",M144=""),"",IF(L144&gt;=M144,"C","NC"))</f>
        <v/>
      </c>
      <c r="O144" s="3" t="n"/>
      <c r="P144" s="3" t="n"/>
      <c r="Q144" s="5">
        <f>IF(OR(O144="",P144=""),"",ROUND(O144-P144,2))</f>
        <v/>
      </c>
      <c r="R144" s="5">
        <f>IF(Q144="","",IF(Q144&gt;=Referencia!$B$8,"C","NC"))</f>
        <v/>
      </c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5">
        <f>IF(F144="","",(N144="NC")+(R144="NC")+(S144="Não")+(S144="Parcial")+(T144="Sim")+(U144="Sim")+(V144="Sim")+(W144="Sim")+(X144="Sim"))</f>
        <v/>
      </c>
      <c r="AB144" s="5">
        <f>IF(AA144="","",IF(AA144&gt;0,"Sim","Não"))</f>
        <v/>
      </c>
      <c r="AC144" s="3" t="n"/>
      <c r="AD144" s="3" t="n"/>
    </row>
    <row r="145">
      <c r="A145" s="3" t="n"/>
      <c r="B145" s="3" t="n"/>
      <c r="C145" s="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5">
        <f>IF(H145&lt;&gt;"",H145,IF(AND(I145&lt;&gt;"",J145&lt;&gt;""),ROUND(I145*TAN(RADIANS(J145))+IF(K145="",1.6,K145),2),""))</f>
        <v/>
      </c>
      <c r="M145" s="5">
        <f>IF(D145="","",IFERROR(IF(VLOOKUP(D145,Referencia!$A$2:$B$5,2,FALSE)="","",VLOOKUP(D145,Referencia!$A$2:$B$5,2,FALSE)),""))</f>
        <v/>
      </c>
      <c r="N145" s="5">
        <f>IF(OR(L145="",M145=""),"",IF(L145&gt;=M145,"C","NC"))</f>
        <v/>
      </c>
      <c r="O145" s="3" t="n"/>
      <c r="P145" s="3" t="n"/>
      <c r="Q145" s="5">
        <f>IF(OR(O145="",P145=""),"",ROUND(O145-P145,2))</f>
        <v/>
      </c>
      <c r="R145" s="5">
        <f>IF(Q145="","",IF(Q145&gt;=Referencia!$B$8,"C","NC"))</f>
        <v/>
      </c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5">
        <f>IF(F145="","",(N145="NC")+(R145="NC")+(S145="Não")+(S145="Parcial")+(T145="Sim")+(U145="Sim")+(V145="Sim")+(W145="Sim")+(X145="Sim"))</f>
        <v/>
      </c>
      <c r="AB145" s="5">
        <f>IF(AA145="","",IF(AA145&gt;0,"Sim","Não"))</f>
        <v/>
      </c>
      <c r="AC145" s="3" t="n"/>
      <c r="AD145" s="3" t="n"/>
    </row>
    <row r="146">
      <c r="A146" s="3" t="n"/>
      <c r="B146" s="3" t="n"/>
      <c r="C146" s="4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5">
        <f>IF(H146&lt;&gt;"",H146,IF(AND(I146&lt;&gt;"",J146&lt;&gt;""),ROUND(I146*TAN(RADIANS(J146))+IF(K146="",1.6,K146),2),""))</f>
        <v/>
      </c>
      <c r="M146" s="5">
        <f>IF(D146="","",IFERROR(IF(VLOOKUP(D146,Referencia!$A$2:$B$5,2,FALSE)="","",VLOOKUP(D146,Referencia!$A$2:$B$5,2,FALSE)),""))</f>
        <v/>
      </c>
      <c r="N146" s="5">
        <f>IF(OR(L146="",M146=""),"",IF(L146&gt;=M146,"C","NC"))</f>
        <v/>
      </c>
      <c r="O146" s="3" t="n"/>
      <c r="P146" s="3" t="n"/>
      <c r="Q146" s="5">
        <f>IF(OR(O146="",P146=""),"",ROUND(O146-P146,2))</f>
        <v/>
      </c>
      <c r="R146" s="5">
        <f>IF(Q146="","",IF(Q146&gt;=Referencia!$B$8,"C","NC"))</f>
        <v/>
      </c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5">
        <f>IF(F146="","",(N146="NC")+(R146="NC")+(S146="Não")+(S146="Parcial")+(T146="Sim")+(U146="Sim")+(V146="Sim")+(W146="Sim")+(X146="Sim"))</f>
        <v/>
      </c>
      <c r="AB146" s="5">
        <f>IF(AA146="","",IF(AA146&gt;0,"Sim","Não"))</f>
        <v/>
      </c>
      <c r="AC146" s="3" t="n"/>
      <c r="AD146" s="3" t="n"/>
    </row>
    <row r="147">
      <c r="A147" s="3" t="n"/>
      <c r="B147" s="3" t="n"/>
      <c r="C147" s="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5">
        <f>IF(H147&lt;&gt;"",H147,IF(AND(I147&lt;&gt;"",J147&lt;&gt;""),ROUND(I147*TAN(RADIANS(J147))+IF(K147="",1.6,K147),2),""))</f>
        <v/>
      </c>
      <c r="M147" s="5">
        <f>IF(D147="","",IFERROR(IF(VLOOKUP(D147,Referencia!$A$2:$B$5,2,FALSE)="","",VLOOKUP(D147,Referencia!$A$2:$B$5,2,FALSE)),""))</f>
        <v/>
      </c>
      <c r="N147" s="5">
        <f>IF(OR(L147="",M147=""),"",IF(L147&gt;=M147,"C","NC"))</f>
        <v/>
      </c>
      <c r="O147" s="3" t="n"/>
      <c r="P147" s="3" t="n"/>
      <c r="Q147" s="5">
        <f>IF(OR(O147="",P147=""),"",ROUND(O147-P147,2))</f>
        <v/>
      </c>
      <c r="R147" s="5">
        <f>IF(Q147="","",IF(Q147&gt;=Referencia!$B$8,"C","NC"))</f>
        <v/>
      </c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5">
        <f>IF(F147="","",(N147="NC")+(R147="NC")+(S147="Não")+(S147="Parcial")+(T147="Sim")+(U147="Sim")+(V147="Sim")+(W147="Sim")+(X147="Sim"))</f>
        <v/>
      </c>
      <c r="AB147" s="5">
        <f>IF(AA147="","",IF(AA147&gt;0,"Sim","Não"))</f>
        <v/>
      </c>
      <c r="AC147" s="3" t="n"/>
      <c r="AD147" s="3" t="n"/>
    </row>
    <row r="148">
      <c r="A148" s="3" t="n"/>
      <c r="B148" s="3" t="n"/>
      <c r="C148" s="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5">
        <f>IF(H148&lt;&gt;"",H148,IF(AND(I148&lt;&gt;"",J148&lt;&gt;""),ROUND(I148*TAN(RADIANS(J148))+IF(K148="",1.6,K148),2),""))</f>
        <v/>
      </c>
      <c r="M148" s="5">
        <f>IF(D148="","",IFERROR(IF(VLOOKUP(D148,Referencia!$A$2:$B$5,2,FALSE)="","",VLOOKUP(D148,Referencia!$A$2:$B$5,2,FALSE)),""))</f>
        <v/>
      </c>
      <c r="N148" s="5">
        <f>IF(OR(L148="",M148=""),"",IF(L148&gt;=M148,"C","NC"))</f>
        <v/>
      </c>
      <c r="O148" s="3" t="n"/>
      <c r="P148" s="3" t="n"/>
      <c r="Q148" s="5">
        <f>IF(OR(O148="",P148=""),"",ROUND(O148-P148,2))</f>
        <v/>
      </c>
      <c r="R148" s="5">
        <f>IF(Q148="","",IF(Q148&gt;=Referencia!$B$8,"C","NC"))</f>
        <v/>
      </c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5">
        <f>IF(F148="","",(N148="NC")+(R148="NC")+(S148="Não")+(S148="Parcial")+(T148="Sim")+(U148="Sim")+(V148="Sim")+(W148="Sim")+(X148="Sim"))</f>
        <v/>
      </c>
      <c r="AB148" s="5">
        <f>IF(AA148="","",IF(AA148&gt;0,"Sim","Não"))</f>
        <v/>
      </c>
      <c r="AC148" s="3" t="n"/>
      <c r="AD148" s="3" t="n"/>
    </row>
    <row r="149">
      <c r="A149" s="3" t="n"/>
      <c r="B149" s="3" t="n"/>
      <c r="C149" s="4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5">
        <f>IF(H149&lt;&gt;"",H149,IF(AND(I149&lt;&gt;"",J149&lt;&gt;""),ROUND(I149*TAN(RADIANS(J149))+IF(K149="",1.6,K149),2),""))</f>
        <v/>
      </c>
      <c r="M149" s="5">
        <f>IF(D149="","",IFERROR(IF(VLOOKUP(D149,Referencia!$A$2:$B$5,2,FALSE)="","",VLOOKUP(D149,Referencia!$A$2:$B$5,2,FALSE)),""))</f>
        <v/>
      </c>
      <c r="N149" s="5">
        <f>IF(OR(L149="",M149=""),"",IF(L149&gt;=M149,"C","NC"))</f>
        <v/>
      </c>
      <c r="O149" s="3" t="n"/>
      <c r="P149" s="3" t="n"/>
      <c r="Q149" s="5">
        <f>IF(OR(O149="",P149=""),"",ROUND(O149-P149,2))</f>
        <v/>
      </c>
      <c r="R149" s="5">
        <f>IF(Q149="","",IF(Q149&gt;=Referencia!$B$8,"C","NC"))</f>
        <v/>
      </c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5">
        <f>IF(F149="","",(N149="NC")+(R149="NC")+(S149="Não")+(S149="Parcial")+(T149="Sim")+(U149="Sim")+(V149="Sim")+(W149="Sim")+(X149="Sim"))</f>
        <v/>
      </c>
      <c r="AB149" s="5">
        <f>IF(AA149="","",IF(AA149&gt;0,"Sim","Não"))</f>
        <v/>
      </c>
      <c r="AC149" s="3" t="n"/>
      <c r="AD149" s="3" t="n"/>
    </row>
    <row r="150">
      <c r="A150" s="3" t="n"/>
      <c r="B150" s="3" t="n"/>
      <c r="C150" s="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5">
        <f>IF(H150&lt;&gt;"",H150,IF(AND(I150&lt;&gt;"",J150&lt;&gt;""),ROUND(I150*TAN(RADIANS(J150))+IF(K150="",1.6,K150),2),""))</f>
        <v/>
      </c>
      <c r="M150" s="5">
        <f>IF(D150="","",IFERROR(IF(VLOOKUP(D150,Referencia!$A$2:$B$5,2,FALSE)="","",VLOOKUP(D150,Referencia!$A$2:$B$5,2,FALSE)),""))</f>
        <v/>
      </c>
      <c r="N150" s="5">
        <f>IF(OR(L150="",M150=""),"",IF(L150&gt;=M150,"C","NC"))</f>
        <v/>
      </c>
      <c r="O150" s="3" t="n"/>
      <c r="P150" s="3" t="n"/>
      <c r="Q150" s="5">
        <f>IF(OR(O150="",P150=""),"",ROUND(O150-P150,2))</f>
        <v/>
      </c>
      <c r="R150" s="5">
        <f>IF(Q150="","",IF(Q150&gt;=Referencia!$B$8,"C","NC"))</f>
        <v/>
      </c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5">
        <f>IF(F150="","",(N150="NC")+(R150="NC")+(S150="Não")+(S150="Parcial")+(T150="Sim")+(U150="Sim")+(V150="Sim")+(W150="Sim")+(X150="Sim"))</f>
        <v/>
      </c>
      <c r="AB150" s="5">
        <f>IF(AA150="","",IF(AA150&gt;0,"Sim","Não"))</f>
        <v/>
      </c>
      <c r="AC150" s="3" t="n"/>
      <c r="AD150" s="3" t="n"/>
    </row>
    <row r="151">
      <c r="A151" s="3" t="n"/>
      <c r="B151" s="3" t="n"/>
      <c r="C151" s="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5">
        <f>IF(H151&lt;&gt;"",H151,IF(AND(I151&lt;&gt;"",J151&lt;&gt;""),ROUND(I151*TAN(RADIANS(J151))+IF(K151="",1.6,K151),2),""))</f>
        <v/>
      </c>
      <c r="M151" s="5">
        <f>IF(D151="","",IFERROR(IF(VLOOKUP(D151,Referencia!$A$2:$B$5,2,FALSE)="","",VLOOKUP(D151,Referencia!$A$2:$B$5,2,FALSE)),""))</f>
        <v/>
      </c>
      <c r="N151" s="5">
        <f>IF(OR(L151="",M151=""),"",IF(L151&gt;=M151,"C","NC"))</f>
        <v/>
      </c>
      <c r="O151" s="3" t="n"/>
      <c r="P151" s="3" t="n"/>
      <c r="Q151" s="5">
        <f>IF(OR(O151="",P151=""),"",ROUND(O151-P151,2))</f>
        <v/>
      </c>
      <c r="R151" s="5">
        <f>IF(Q151="","",IF(Q151&gt;=Referencia!$B$8,"C","NC"))</f>
        <v/>
      </c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5">
        <f>IF(F151="","",(N151="NC")+(R151="NC")+(S151="Não")+(S151="Parcial")+(T151="Sim")+(U151="Sim")+(V151="Sim")+(W151="Sim")+(X151="Sim"))</f>
        <v/>
      </c>
      <c r="AB151" s="5">
        <f>IF(AA151="","",IF(AA151&gt;0,"Sim","Não"))</f>
        <v/>
      </c>
      <c r="AC151" s="3" t="n"/>
      <c r="AD151" s="3" t="n"/>
    </row>
    <row r="152">
      <c r="A152" s="3" t="n"/>
      <c r="B152" s="3" t="n"/>
      <c r="C152" s="4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5">
        <f>IF(H152&lt;&gt;"",H152,IF(AND(I152&lt;&gt;"",J152&lt;&gt;""),ROUND(I152*TAN(RADIANS(J152))+IF(K152="",1.6,K152),2),""))</f>
        <v/>
      </c>
      <c r="M152" s="5">
        <f>IF(D152="","",IFERROR(IF(VLOOKUP(D152,Referencia!$A$2:$B$5,2,FALSE)="","",VLOOKUP(D152,Referencia!$A$2:$B$5,2,FALSE)),""))</f>
        <v/>
      </c>
      <c r="N152" s="5">
        <f>IF(OR(L152="",M152=""),"",IF(L152&gt;=M152,"C","NC"))</f>
        <v/>
      </c>
      <c r="O152" s="3" t="n"/>
      <c r="P152" s="3" t="n"/>
      <c r="Q152" s="5">
        <f>IF(OR(O152="",P152=""),"",ROUND(O152-P152,2))</f>
        <v/>
      </c>
      <c r="R152" s="5">
        <f>IF(Q152="","",IF(Q152&gt;=Referencia!$B$8,"C","NC"))</f>
        <v/>
      </c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5">
        <f>IF(F152="","",(N152="NC")+(R152="NC")+(S152="Não")+(S152="Parcial")+(T152="Sim")+(U152="Sim")+(V152="Sim")+(W152="Sim")+(X152="Sim"))</f>
        <v/>
      </c>
      <c r="AB152" s="5">
        <f>IF(AA152="","",IF(AA152&gt;0,"Sim","Não"))</f>
        <v/>
      </c>
      <c r="AC152" s="3" t="n"/>
      <c r="AD152" s="3" t="n"/>
    </row>
    <row r="153">
      <c r="A153" s="3" t="n"/>
      <c r="B153" s="3" t="n"/>
      <c r="C153" s="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5">
        <f>IF(H153&lt;&gt;"",H153,IF(AND(I153&lt;&gt;"",J153&lt;&gt;""),ROUND(I153*TAN(RADIANS(J153))+IF(K153="",1.6,K153),2),""))</f>
        <v/>
      </c>
      <c r="M153" s="5">
        <f>IF(D153="","",IFERROR(IF(VLOOKUP(D153,Referencia!$A$2:$B$5,2,FALSE)="","",VLOOKUP(D153,Referencia!$A$2:$B$5,2,FALSE)),""))</f>
        <v/>
      </c>
      <c r="N153" s="5">
        <f>IF(OR(L153="",M153=""),"",IF(L153&gt;=M153,"C","NC"))</f>
        <v/>
      </c>
      <c r="O153" s="3" t="n"/>
      <c r="P153" s="3" t="n"/>
      <c r="Q153" s="5">
        <f>IF(OR(O153="",P153=""),"",ROUND(O153-P153,2))</f>
        <v/>
      </c>
      <c r="R153" s="5">
        <f>IF(Q153="","",IF(Q153&gt;=Referencia!$B$8,"C","NC"))</f>
        <v/>
      </c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5">
        <f>IF(F153="","",(N153="NC")+(R153="NC")+(S153="Não")+(S153="Parcial")+(T153="Sim")+(U153="Sim")+(V153="Sim")+(W153="Sim")+(X153="Sim"))</f>
        <v/>
      </c>
      <c r="AB153" s="5">
        <f>IF(AA153="","",IF(AA153&gt;0,"Sim","Não"))</f>
        <v/>
      </c>
      <c r="AC153" s="3" t="n"/>
      <c r="AD153" s="3" t="n"/>
    </row>
    <row r="154">
      <c r="A154" s="3" t="n"/>
      <c r="B154" s="3" t="n"/>
      <c r="C154" s="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5">
        <f>IF(H154&lt;&gt;"",H154,IF(AND(I154&lt;&gt;"",J154&lt;&gt;""),ROUND(I154*TAN(RADIANS(J154))+IF(K154="",1.6,K154),2),""))</f>
        <v/>
      </c>
      <c r="M154" s="5">
        <f>IF(D154="","",IFERROR(IF(VLOOKUP(D154,Referencia!$A$2:$B$5,2,FALSE)="","",VLOOKUP(D154,Referencia!$A$2:$B$5,2,FALSE)),""))</f>
        <v/>
      </c>
      <c r="N154" s="5">
        <f>IF(OR(L154="",M154=""),"",IF(L154&gt;=M154,"C","NC"))</f>
        <v/>
      </c>
      <c r="O154" s="3" t="n"/>
      <c r="P154" s="3" t="n"/>
      <c r="Q154" s="5">
        <f>IF(OR(O154="",P154=""),"",ROUND(O154-P154,2))</f>
        <v/>
      </c>
      <c r="R154" s="5">
        <f>IF(Q154="","",IF(Q154&gt;=Referencia!$B$8,"C","NC"))</f>
        <v/>
      </c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5">
        <f>IF(F154="","",(N154="NC")+(R154="NC")+(S154="Não")+(S154="Parcial")+(T154="Sim")+(U154="Sim")+(V154="Sim")+(W154="Sim")+(X154="Sim"))</f>
        <v/>
      </c>
      <c r="AB154" s="5">
        <f>IF(AA154="","",IF(AA154&gt;0,"Sim","Não"))</f>
        <v/>
      </c>
      <c r="AC154" s="3" t="n"/>
      <c r="AD154" s="3" t="n"/>
    </row>
    <row r="155">
      <c r="A155" s="3" t="n"/>
      <c r="B155" s="3" t="n"/>
      <c r="C155" s="4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5">
        <f>IF(H155&lt;&gt;"",H155,IF(AND(I155&lt;&gt;"",J155&lt;&gt;""),ROUND(I155*TAN(RADIANS(J155))+IF(K155="",1.6,K155),2),""))</f>
        <v/>
      </c>
      <c r="M155" s="5">
        <f>IF(D155="","",IFERROR(IF(VLOOKUP(D155,Referencia!$A$2:$B$5,2,FALSE)="","",VLOOKUP(D155,Referencia!$A$2:$B$5,2,FALSE)),""))</f>
        <v/>
      </c>
      <c r="N155" s="5">
        <f>IF(OR(L155="",M155=""),"",IF(L155&gt;=M155,"C","NC"))</f>
        <v/>
      </c>
      <c r="O155" s="3" t="n"/>
      <c r="P155" s="3" t="n"/>
      <c r="Q155" s="5">
        <f>IF(OR(O155="",P155=""),"",ROUND(O155-P155,2))</f>
        <v/>
      </c>
      <c r="R155" s="5">
        <f>IF(Q155="","",IF(Q155&gt;=Referencia!$B$8,"C","NC"))</f>
        <v/>
      </c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5">
        <f>IF(F155="","",(N155="NC")+(R155="NC")+(S155="Não")+(S155="Parcial")+(T155="Sim")+(U155="Sim")+(V155="Sim")+(W155="Sim")+(X155="Sim"))</f>
        <v/>
      </c>
      <c r="AB155" s="5">
        <f>IF(AA155="","",IF(AA155&gt;0,"Sim","Não"))</f>
        <v/>
      </c>
      <c r="AC155" s="3" t="n"/>
      <c r="AD155" s="3" t="n"/>
    </row>
    <row r="156">
      <c r="A156" s="3" t="n"/>
      <c r="B156" s="3" t="n"/>
      <c r="C156" s="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5">
        <f>IF(H156&lt;&gt;"",H156,IF(AND(I156&lt;&gt;"",J156&lt;&gt;""),ROUND(I156*TAN(RADIANS(J156))+IF(K156="",1.6,K156),2),""))</f>
        <v/>
      </c>
      <c r="M156" s="5">
        <f>IF(D156="","",IFERROR(IF(VLOOKUP(D156,Referencia!$A$2:$B$5,2,FALSE)="","",VLOOKUP(D156,Referencia!$A$2:$B$5,2,FALSE)),""))</f>
        <v/>
      </c>
      <c r="N156" s="5">
        <f>IF(OR(L156="",M156=""),"",IF(L156&gt;=M156,"C","NC"))</f>
        <v/>
      </c>
      <c r="O156" s="3" t="n"/>
      <c r="P156" s="3" t="n"/>
      <c r="Q156" s="5">
        <f>IF(OR(O156="",P156=""),"",ROUND(O156-P156,2))</f>
        <v/>
      </c>
      <c r="R156" s="5">
        <f>IF(Q156="","",IF(Q156&gt;=Referencia!$B$8,"C","NC"))</f>
        <v/>
      </c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5">
        <f>IF(F156="","",(N156="NC")+(R156="NC")+(S156="Não")+(S156="Parcial")+(T156="Sim")+(U156="Sim")+(V156="Sim")+(W156="Sim")+(X156="Sim"))</f>
        <v/>
      </c>
      <c r="AB156" s="5">
        <f>IF(AA156="","",IF(AA156&gt;0,"Sim","Não"))</f>
        <v/>
      </c>
      <c r="AC156" s="3" t="n"/>
      <c r="AD156" s="3" t="n"/>
    </row>
    <row r="157">
      <c r="A157" s="3" t="n"/>
      <c r="B157" s="3" t="n"/>
      <c r="C157" s="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5">
        <f>IF(H157&lt;&gt;"",H157,IF(AND(I157&lt;&gt;"",J157&lt;&gt;""),ROUND(I157*TAN(RADIANS(J157))+IF(K157="",1.6,K157),2),""))</f>
        <v/>
      </c>
      <c r="M157" s="5">
        <f>IF(D157="","",IFERROR(IF(VLOOKUP(D157,Referencia!$A$2:$B$5,2,FALSE)="","",VLOOKUP(D157,Referencia!$A$2:$B$5,2,FALSE)),""))</f>
        <v/>
      </c>
      <c r="N157" s="5">
        <f>IF(OR(L157="",M157=""),"",IF(L157&gt;=M157,"C","NC"))</f>
        <v/>
      </c>
      <c r="O157" s="3" t="n"/>
      <c r="P157" s="3" t="n"/>
      <c r="Q157" s="5">
        <f>IF(OR(O157="",P157=""),"",ROUND(O157-P157,2))</f>
        <v/>
      </c>
      <c r="R157" s="5">
        <f>IF(Q157="","",IF(Q157&gt;=Referencia!$B$8,"C","NC"))</f>
        <v/>
      </c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5">
        <f>IF(F157="","",(N157="NC")+(R157="NC")+(S157="Não")+(S157="Parcial")+(T157="Sim")+(U157="Sim")+(V157="Sim")+(W157="Sim")+(X157="Sim"))</f>
        <v/>
      </c>
      <c r="AB157" s="5">
        <f>IF(AA157="","",IF(AA157&gt;0,"Sim","Não"))</f>
        <v/>
      </c>
      <c r="AC157" s="3" t="n"/>
      <c r="AD157" s="3" t="n"/>
    </row>
    <row r="158">
      <c r="A158" s="3" t="n"/>
      <c r="B158" s="3" t="n"/>
      <c r="C158" s="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5">
        <f>IF(H158&lt;&gt;"",H158,IF(AND(I158&lt;&gt;"",J158&lt;&gt;""),ROUND(I158*TAN(RADIANS(J158))+IF(K158="",1.6,K158),2),""))</f>
        <v/>
      </c>
      <c r="M158" s="5">
        <f>IF(D158="","",IFERROR(IF(VLOOKUP(D158,Referencia!$A$2:$B$5,2,FALSE)="","",VLOOKUP(D158,Referencia!$A$2:$B$5,2,FALSE)),""))</f>
        <v/>
      </c>
      <c r="N158" s="5">
        <f>IF(OR(L158="",M158=""),"",IF(L158&gt;=M158,"C","NC"))</f>
        <v/>
      </c>
      <c r="O158" s="3" t="n"/>
      <c r="P158" s="3" t="n"/>
      <c r="Q158" s="5">
        <f>IF(OR(O158="",P158=""),"",ROUND(O158-P158,2))</f>
        <v/>
      </c>
      <c r="R158" s="5">
        <f>IF(Q158="","",IF(Q158&gt;=Referencia!$B$8,"C","NC"))</f>
        <v/>
      </c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5">
        <f>IF(F158="","",(N158="NC")+(R158="NC")+(S158="Não")+(S158="Parcial")+(T158="Sim")+(U158="Sim")+(V158="Sim")+(W158="Sim")+(X158="Sim"))</f>
        <v/>
      </c>
      <c r="AB158" s="5">
        <f>IF(AA158="","",IF(AA158&gt;0,"Sim","Não"))</f>
        <v/>
      </c>
      <c r="AC158" s="3" t="n"/>
      <c r="AD158" s="3" t="n"/>
    </row>
    <row r="159">
      <c r="A159" s="3" t="n"/>
      <c r="B159" s="3" t="n"/>
      <c r="C159" s="4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5">
        <f>IF(H159&lt;&gt;"",H159,IF(AND(I159&lt;&gt;"",J159&lt;&gt;""),ROUND(I159*TAN(RADIANS(J159))+IF(K159="",1.6,K159),2),""))</f>
        <v/>
      </c>
      <c r="M159" s="5">
        <f>IF(D159="","",IFERROR(IF(VLOOKUP(D159,Referencia!$A$2:$B$5,2,FALSE)="","",VLOOKUP(D159,Referencia!$A$2:$B$5,2,FALSE)),""))</f>
        <v/>
      </c>
      <c r="N159" s="5">
        <f>IF(OR(L159="",M159=""),"",IF(L159&gt;=M159,"C","NC"))</f>
        <v/>
      </c>
      <c r="O159" s="3" t="n"/>
      <c r="P159" s="3" t="n"/>
      <c r="Q159" s="5">
        <f>IF(OR(O159="",P159=""),"",ROUND(O159-P159,2))</f>
        <v/>
      </c>
      <c r="R159" s="5">
        <f>IF(Q159="","",IF(Q159&gt;=Referencia!$B$8,"C","NC"))</f>
        <v/>
      </c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5">
        <f>IF(F159="","",(N159="NC")+(R159="NC")+(S159="Não")+(S159="Parcial")+(T159="Sim")+(U159="Sim")+(V159="Sim")+(W159="Sim")+(X159="Sim"))</f>
        <v/>
      </c>
      <c r="AB159" s="5">
        <f>IF(AA159="","",IF(AA159&gt;0,"Sim","Não"))</f>
        <v/>
      </c>
      <c r="AC159" s="3" t="n"/>
      <c r="AD159" s="3" t="n"/>
    </row>
    <row r="160">
      <c r="A160" s="3" t="n"/>
      <c r="B160" s="3" t="n"/>
      <c r="C160" s="4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5">
        <f>IF(H160&lt;&gt;"",H160,IF(AND(I160&lt;&gt;"",J160&lt;&gt;""),ROUND(I160*TAN(RADIANS(J160))+IF(K160="",1.6,K160),2),""))</f>
        <v/>
      </c>
      <c r="M160" s="5">
        <f>IF(D160="","",IFERROR(IF(VLOOKUP(D160,Referencia!$A$2:$B$5,2,FALSE)="","",VLOOKUP(D160,Referencia!$A$2:$B$5,2,FALSE)),""))</f>
        <v/>
      </c>
      <c r="N160" s="5">
        <f>IF(OR(L160="",M160=""),"",IF(L160&gt;=M160,"C","NC"))</f>
        <v/>
      </c>
      <c r="O160" s="3" t="n"/>
      <c r="P160" s="3" t="n"/>
      <c r="Q160" s="5">
        <f>IF(OR(O160="",P160=""),"",ROUND(O160-P160,2))</f>
        <v/>
      </c>
      <c r="R160" s="5">
        <f>IF(Q160="","",IF(Q160&gt;=Referencia!$B$8,"C","NC"))</f>
        <v/>
      </c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5">
        <f>IF(F160="","",(N160="NC")+(R160="NC")+(S160="Não")+(S160="Parcial")+(T160="Sim")+(U160="Sim")+(V160="Sim")+(W160="Sim")+(X160="Sim"))</f>
        <v/>
      </c>
      <c r="AB160" s="5">
        <f>IF(AA160="","",IF(AA160&gt;0,"Sim","Não"))</f>
        <v/>
      </c>
      <c r="AC160" s="3" t="n"/>
      <c r="AD160" s="3" t="n"/>
    </row>
    <row r="161">
      <c r="A161" s="3" t="n"/>
      <c r="B161" s="3" t="n"/>
      <c r="C161" s="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5">
        <f>IF(H161&lt;&gt;"",H161,IF(AND(I161&lt;&gt;"",J161&lt;&gt;""),ROUND(I161*TAN(RADIANS(J161))+IF(K161="",1.6,K161),2),""))</f>
        <v/>
      </c>
      <c r="M161" s="5">
        <f>IF(D161="","",IFERROR(IF(VLOOKUP(D161,Referencia!$A$2:$B$5,2,FALSE)="","",VLOOKUP(D161,Referencia!$A$2:$B$5,2,FALSE)),""))</f>
        <v/>
      </c>
      <c r="N161" s="5">
        <f>IF(OR(L161="",M161=""),"",IF(L161&gt;=M161,"C","NC"))</f>
        <v/>
      </c>
      <c r="O161" s="3" t="n"/>
      <c r="P161" s="3" t="n"/>
      <c r="Q161" s="5">
        <f>IF(OR(O161="",P161=""),"",ROUND(O161-P161,2))</f>
        <v/>
      </c>
      <c r="R161" s="5">
        <f>IF(Q161="","",IF(Q161&gt;=Referencia!$B$8,"C","NC"))</f>
        <v/>
      </c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5">
        <f>IF(F161="","",(N161="NC")+(R161="NC")+(S161="Não")+(S161="Parcial")+(T161="Sim")+(U161="Sim")+(V161="Sim")+(W161="Sim")+(X161="Sim"))</f>
        <v/>
      </c>
      <c r="AB161" s="5">
        <f>IF(AA161="","",IF(AA161&gt;0,"Sim","Não"))</f>
        <v/>
      </c>
      <c r="AC161" s="3" t="n"/>
      <c r="AD161" s="3" t="n"/>
    </row>
    <row r="162">
      <c r="A162" s="3" t="n"/>
      <c r="B162" s="3" t="n"/>
      <c r="C162" s="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5">
        <f>IF(H162&lt;&gt;"",H162,IF(AND(I162&lt;&gt;"",J162&lt;&gt;""),ROUND(I162*TAN(RADIANS(J162))+IF(K162="",1.6,K162),2),""))</f>
        <v/>
      </c>
      <c r="M162" s="5">
        <f>IF(D162="","",IFERROR(IF(VLOOKUP(D162,Referencia!$A$2:$B$5,2,FALSE)="","",VLOOKUP(D162,Referencia!$A$2:$B$5,2,FALSE)),""))</f>
        <v/>
      </c>
      <c r="N162" s="5">
        <f>IF(OR(L162="",M162=""),"",IF(L162&gt;=M162,"C","NC"))</f>
        <v/>
      </c>
      <c r="O162" s="3" t="n"/>
      <c r="P162" s="3" t="n"/>
      <c r="Q162" s="5">
        <f>IF(OR(O162="",P162=""),"",ROUND(O162-P162,2))</f>
        <v/>
      </c>
      <c r="R162" s="5">
        <f>IF(Q162="","",IF(Q162&gt;=Referencia!$B$8,"C","NC"))</f>
        <v/>
      </c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5">
        <f>IF(F162="","",(N162="NC")+(R162="NC")+(S162="Não")+(S162="Parcial")+(T162="Sim")+(U162="Sim")+(V162="Sim")+(W162="Sim")+(X162="Sim"))</f>
        <v/>
      </c>
      <c r="AB162" s="5">
        <f>IF(AA162="","",IF(AA162&gt;0,"Sim","Não"))</f>
        <v/>
      </c>
      <c r="AC162" s="3" t="n"/>
      <c r="AD162" s="3" t="n"/>
    </row>
    <row r="163">
      <c r="A163" s="3" t="n"/>
      <c r="B163" s="3" t="n"/>
      <c r="C163" s="4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5">
        <f>IF(H163&lt;&gt;"",H163,IF(AND(I163&lt;&gt;"",J163&lt;&gt;""),ROUND(I163*TAN(RADIANS(J163))+IF(K163="",1.6,K163),2),""))</f>
        <v/>
      </c>
      <c r="M163" s="5">
        <f>IF(D163="","",IFERROR(IF(VLOOKUP(D163,Referencia!$A$2:$B$5,2,FALSE)="","",VLOOKUP(D163,Referencia!$A$2:$B$5,2,FALSE)),""))</f>
        <v/>
      </c>
      <c r="N163" s="5">
        <f>IF(OR(L163="",M163=""),"",IF(L163&gt;=M163,"C","NC"))</f>
        <v/>
      </c>
      <c r="O163" s="3" t="n"/>
      <c r="P163" s="3" t="n"/>
      <c r="Q163" s="5">
        <f>IF(OR(O163="",P163=""),"",ROUND(O163-P163,2))</f>
        <v/>
      </c>
      <c r="R163" s="5">
        <f>IF(Q163="","",IF(Q163&gt;=Referencia!$B$8,"C","NC"))</f>
        <v/>
      </c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5">
        <f>IF(F163="","",(N163="NC")+(R163="NC")+(S163="Não")+(S163="Parcial")+(T163="Sim")+(U163="Sim")+(V163="Sim")+(W163="Sim")+(X163="Sim"))</f>
        <v/>
      </c>
      <c r="AB163" s="5">
        <f>IF(AA163="","",IF(AA163&gt;0,"Sim","Não"))</f>
        <v/>
      </c>
      <c r="AC163" s="3" t="n"/>
      <c r="AD163" s="3" t="n"/>
    </row>
    <row r="164">
      <c r="A164" s="3" t="n"/>
      <c r="B164" s="3" t="n"/>
      <c r="C164" s="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5">
        <f>IF(H164&lt;&gt;"",H164,IF(AND(I164&lt;&gt;"",J164&lt;&gt;""),ROUND(I164*TAN(RADIANS(J164))+IF(K164="",1.6,K164),2),""))</f>
        <v/>
      </c>
      <c r="M164" s="5">
        <f>IF(D164="","",IFERROR(IF(VLOOKUP(D164,Referencia!$A$2:$B$5,2,FALSE)="","",VLOOKUP(D164,Referencia!$A$2:$B$5,2,FALSE)),""))</f>
        <v/>
      </c>
      <c r="N164" s="5">
        <f>IF(OR(L164="",M164=""),"",IF(L164&gt;=M164,"C","NC"))</f>
        <v/>
      </c>
      <c r="O164" s="3" t="n"/>
      <c r="P164" s="3" t="n"/>
      <c r="Q164" s="5">
        <f>IF(OR(O164="",P164=""),"",ROUND(O164-P164,2))</f>
        <v/>
      </c>
      <c r="R164" s="5">
        <f>IF(Q164="","",IF(Q164&gt;=Referencia!$B$8,"C","NC"))</f>
        <v/>
      </c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5">
        <f>IF(F164="","",(N164="NC")+(R164="NC")+(S164="Não")+(S164="Parcial")+(T164="Sim")+(U164="Sim")+(V164="Sim")+(W164="Sim")+(X164="Sim"))</f>
        <v/>
      </c>
      <c r="AB164" s="5">
        <f>IF(AA164="","",IF(AA164&gt;0,"Sim","Não"))</f>
        <v/>
      </c>
      <c r="AC164" s="3" t="n"/>
      <c r="AD164" s="3" t="n"/>
    </row>
    <row r="165">
      <c r="A165" s="3" t="n"/>
      <c r="B165" s="3" t="n"/>
      <c r="C165" s="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5">
        <f>IF(H165&lt;&gt;"",H165,IF(AND(I165&lt;&gt;"",J165&lt;&gt;""),ROUND(I165*TAN(RADIANS(J165))+IF(K165="",1.6,K165),2),""))</f>
        <v/>
      </c>
      <c r="M165" s="5">
        <f>IF(D165="","",IFERROR(IF(VLOOKUP(D165,Referencia!$A$2:$B$5,2,FALSE)="","",VLOOKUP(D165,Referencia!$A$2:$B$5,2,FALSE)),""))</f>
        <v/>
      </c>
      <c r="N165" s="5">
        <f>IF(OR(L165="",M165=""),"",IF(L165&gt;=M165,"C","NC"))</f>
        <v/>
      </c>
      <c r="O165" s="3" t="n"/>
      <c r="P165" s="3" t="n"/>
      <c r="Q165" s="5">
        <f>IF(OR(O165="",P165=""),"",ROUND(O165-P165,2))</f>
        <v/>
      </c>
      <c r="R165" s="5">
        <f>IF(Q165="","",IF(Q165&gt;=Referencia!$B$8,"C","NC"))</f>
        <v/>
      </c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5">
        <f>IF(F165="","",(N165="NC")+(R165="NC")+(S165="Não")+(S165="Parcial")+(T165="Sim")+(U165="Sim")+(V165="Sim")+(W165="Sim")+(X165="Sim"))</f>
        <v/>
      </c>
      <c r="AB165" s="5">
        <f>IF(AA165="","",IF(AA165&gt;0,"Sim","Não"))</f>
        <v/>
      </c>
      <c r="AC165" s="3" t="n"/>
      <c r="AD165" s="3" t="n"/>
    </row>
    <row r="166">
      <c r="A166" s="3" t="n"/>
      <c r="B166" s="3" t="n"/>
      <c r="C166" s="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5">
        <f>IF(H166&lt;&gt;"",H166,IF(AND(I166&lt;&gt;"",J166&lt;&gt;""),ROUND(I166*TAN(RADIANS(J166))+IF(K166="",1.6,K166),2),""))</f>
        <v/>
      </c>
      <c r="M166" s="5">
        <f>IF(D166="","",IFERROR(IF(VLOOKUP(D166,Referencia!$A$2:$B$5,2,FALSE)="","",VLOOKUP(D166,Referencia!$A$2:$B$5,2,FALSE)),""))</f>
        <v/>
      </c>
      <c r="N166" s="5">
        <f>IF(OR(L166="",M166=""),"",IF(L166&gt;=M166,"C","NC"))</f>
        <v/>
      </c>
      <c r="O166" s="3" t="n"/>
      <c r="P166" s="3" t="n"/>
      <c r="Q166" s="5">
        <f>IF(OR(O166="",P166=""),"",ROUND(O166-P166,2))</f>
        <v/>
      </c>
      <c r="R166" s="5">
        <f>IF(Q166="","",IF(Q166&gt;=Referencia!$B$8,"C","NC"))</f>
        <v/>
      </c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5">
        <f>IF(F166="","",(N166="NC")+(R166="NC")+(S166="Não")+(S166="Parcial")+(T166="Sim")+(U166="Sim")+(V166="Sim")+(W166="Sim")+(X166="Sim"))</f>
        <v/>
      </c>
      <c r="AB166" s="5">
        <f>IF(AA166="","",IF(AA166&gt;0,"Sim","Não"))</f>
        <v/>
      </c>
      <c r="AC166" s="3" t="n"/>
      <c r="AD166" s="3" t="n"/>
    </row>
    <row r="167">
      <c r="A167" s="3" t="n"/>
      <c r="B167" s="3" t="n"/>
      <c r="C167" s="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5">
        <f>IF(H167&lt;&gt;"",H167,IF(AND(I167&lt;&gt;"",J167&lt;&gt;""),ROUND(I167*TAN(RADIANS(J167))+IF(K167="",1.6,K167),2),""))</f>
        <v/>
      </c>
      <c r="M167" s="5">
        <f>IF(D167="","",IFERROR(IF(VLOOKUP(D167,Referencia!$A$2:$B$5,2,FALSE)="","",VLOOKUP(D167,Referencia!$A$2:$B$5,2,FALSE)),""))</f>
        <v/>
      </c>
      <c r="N167" s="5">
        <f>IF(OR(L167="",M167=""),"",IF(L167&gt;=M167,"C","NC"))</f>
        <v/>
      </c>
      <c r="O167" s="3" t="n"/>
      <c r="P167" s="3" t="n"/>
      <c r="Q167" s="5">
        <f>IF(OR(O167="",P167=""),"",ROUND(O167-P167,2))</f>
        <v/>
      </c>
      <c r="R167" s="5">
        <f>IF(Q167="","",IF(Q167&gt;=Referencia!$B$8,"C","NC"))</f>
        <v/>
      </c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5">
        <f>IF(F167="","",(N167="NC")+(R167="NC")+(S167="Não")+(S167="Parcial")+(T167="Sim")+(U167="Sim")+(V167="Sim")+(W167="Sim")+(X167="Sim"))</f>
        <v/>
      </c>
      <c r="AB167" s="5">
        <f>IF(AA167="","",IF(AA167&gt;0,"Sim","Não"))</f>
        <v/>
      </c>
      <c r="AC167" s="3" t="n"/>
      <c r="AD167" s="3" t="n"/>
    </row>
    <row r="168">
      <c r="A168" s="3" t="n"/>
      <c r="B168" s="3" t="n"/>
      <c r="C168" s="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5">
        <f>IF(H168&lt;&gt;"",H168,IF(AND(I168&lt;&gt;"",J168&lt;&gt;""),ROUND(I168*TAN(RADIANS(J168))+IF(K168="",1.6,K168),2),""))</f>
        <v/>
      </c>
      <c r="M168" s="5">
        <f>IF(D168="","",IFERROR(IF(VLOOKUP(D168,Referencia!$A$2:$B$5,2,FALSE)="","",VLOOKUP(D168,Referencia!$A$2:$B$5,2,FALSE)),""))</f>
        <v/>
      </c>
      <c r="N168" s="5">
        <f>IF(OR(L168="",M168=""),"",IF(L168&gt;=M168,"C","NC"))</f>
        <v/>
      </c>
      <c r="O168" s="3" t="n"/>
      <c r="P168" s="3" t="n"/>
      <c r="Q168" s="5">
        <f>IF(OR(O168="",P168=""),"",ROUND(O168-P168,2))</f>
        <v/>
      </c>
      <c r="R168" s="5">
        <f>IF(Q168="","",IF(Q168&gt;=Referencia!$B$8,"C","NC"))</f>
        <v/>
      </c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5">
        <f>IF(F168="","",(N168="NC")+(R168="NC")+(S168="Não")+(S168="Parcial")+(T168="Sim")+(U168="Sim")+(V168="Sim")+(W168="Sim")+(X168="Sim"))</f>
        <v/>
      </c>
      <c r="AB168" s="5">
        <f>IF(AA168="","",IF(AA168&gt;0,"Sim","Não"))</f>
        <v/>
      </c>
      <c r="AC168" s="3" t="n"/>
      <c r="AD168" s="3" t="n"/>
    </row>
    <row r="169">
      <c r="A169" s="3" t="n"/>
      <c r="B169" s="3" t="n"/>
      <c r="C169" s="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5">
        <f>IF(H169&lt;&gt;"",H169,IF(AND(I169&lt;&gt;"",J169&lt;&gt;""),ROUND(I169*TAN(RADIANS(J169))+IF(K169="",1.6,K169),2),""))</f>
        <v/>
      </c>
      <c r="M169" s="5">
        <f>IF(D169="","",IFERROR(IF(VLOOKUP(D169,Referencia!$A$2:$B$5,2,FALSE)="","",VLOOKUP(D169,Referencia!$A$2:$B$5,2,FALSE)),""))</f>
        <v/>
      </c>
      <c r="N169" s="5">
        <f>IF(OR(L169="",M169=""),"",IF(L169&gt;=M169,"C","NC"))</f>
        <v/>
      </c>
      <c r="O169" s="3" t="n"/>
      <c r="P169" s="3" t="n"/>
      <c r="Q169" s="5">
        <f>IF(OR(O169="",P169=""),"",ROUND(O169-P169,2))</f>
        <v/>
      </c>
      <c r="R169" s="5">
        <f>IF(Q169="","",IF(Q169&gt;=Referencia!$B$8,"C","NC"))</f>
        <v/>
      </c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5">
        <f>IF(F169="","",(N169="NC")+(R169="NC")+(S169="Não")+(S169="Parcial")+(T169="Sim")+(U169="Sim")+(V169="Sim")+(W169="Sim")+(X169="Sim"))</f>
        <v/>
      </c>
      <c r="AB169" s="5">
        <f>IF(AA169="","",IF(AA169&gt;0,"Sim","Não"))</f>
        <v/>
      </c>
      <c r="AC169" s="3" t="n"/>
      <c r="AD169" s="3" t="n"/>
    </row>
    <row r="170">
      <c r="A170" s="3" t="n"/>
      <c r="B170" s="3" t="n"/>
      <c r="C170" s="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5">
        <f>IF(H170&lt;&gt;"",H170,IF(AND(I170&lt;&gt;"",J170&lt;&gt;""),ROUND(I170*TAN(RADIANS(J170))+IF(K170="",1.6,K170),2),""))</f>
        <v/>
      </c>
      <c r="M170" s="5">
        <f>IF(D170="","",IFERROR(IF(VLOOKUP(D170,Referencia!$A$2:$B$5,2,FALSE)="","",VLOOKUP(D170,Referencia!$A$2:$B$5,2,FALSE)),""))</f>
        <v/>
      </c>
      <c r="N170" s="5">
        <f>IF(OR(L170="",M170=""),"",IF(L170&gt;=M170,"C","NC"))</f>
        <v/>
      </c>
      <c r="O170" s="3" t="n"/>
      <c r="P170" s="3" t="n"/>
      <c r="Q170" s="5">
        <f>IF(OR(O170="",P170=""),"",ROUND(O170-P170,2))</f>
        <v/>
      </c>
      <c r="R170" s="5">
        <f>IF(Q170="","",IF(Q170&gt;=Referencia!$B$8,"C","NC"))</f>
        <v/>
      </c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5">
        <f>IF(F170="","",(N170="NC")+(R170="NC")+(S170="Não")+(S170="Parcial")+(T170="Sim")+(U170="Sim")+(V170="Sim")+(W170="Sim")+(X170="Sim"))</f>
        <v/>
      </c>
      <c r="AB170" s="5">
        <f>IF(AA170="","",IF(AA170&gt;0,"Sim","Não"))</f>
        <v/>
      </c>
      <c r="AC170" s="3" t="n"/>
      <c r="AD170" s="3" t="n"/>
    </row>
    <row r="171">
      <c r="A171" s="3" t="n"/>
      <c r="B171" s="3" t="n"/>
      <c r="C171" s="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5">
        <f>IF(H171&lt;&gt;"",H171,IF(AND(I171&lt;&gt;"",J171&lt;&gt;""),ROUND(I171*TAN(RADIANS(J171))+IF(K171="",1.6,K171),2),""))</f>
        <v/>
      </c>
      <c r="M171" s="5">
        <f>IF(D171="","",IFERROR(IF(VLOOKUP(D171,Referencia!$A$2:$B$5,2,FALSE)="","",VLOOKUP(D171,Referencia!$A$2:$B$5,2,FALSE)),""))</f>
        <v/>
      </c>
      <c r="N171" s="5">
        <f>IF(OR(L171="",M171=""),"",IF(L171&gt;=M171,"C","NC"))</f>
        <v/>
      </c>
      <c r="O171" s="3" t="n"/>
      <c r="P171" s="3" t="n"/>
      <c r="Q171" s="5">
        <f>IF(OR(O171="",P171=""),"",ROUND(O171-P171,2))</f>
        <v/>
      </c>
      <c r="R171" s="5">
        <f>IF(Q171="","",IF(Q171&gt;=Referencia!$B$8,"C","NC"))</f>
        <v/>
      </c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5">
        <f>IF(F171="","",(N171="NC")+(R171="NC")+(S171="Não")+(S171="Parcial")+(T171="Sim")+(U171="Sim")+(V171="Sim")+(W171="Sim")+(X171="Sim"))</f>
        <v/>
      </c>
      <c r="AB171" s="5">
        <f>IF(AA171="","",IF(AA171&gt;0,"Sim","Não"))</f>
        <v/>
      </c>
      <c r="AC171" s="3" t="n"/>
      <c r="AD171" s="3" t="n"/>
    </row>
    <row r="172">
      <c r="A172" s="3" t="n"/>
      <c r="B172" s="3" t="n"/>
      <c r="C172" s="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5">
        <f>IF(H172&lt;&gt;"",H172,IF(AND(I172&lt;&gt;"",J172&lt;&gt;""),ROUND(I172*TAN(RADIANS(J172))+IF(K172="",1.6,K172),2),""))</f>
        <v/>
      </c>
      <c r="M172" s="5">
        <f>IF(D172="","",IFERROR(IF(VLOOKUP(D172,Referencia!$A$2:$B$5,2,FALSE)="","",VLOOKUP(D172,Referencia!$A$2:$B$5,2,FALSE)),""))</f>
        <v/>
      </c>
      <c r="N172" s="5">
        <f>IF(OR(L172="",M172=""),"",IF(L172&gt;=M172,"C","NC"))</f>
        <v/>
      </c>
      <c r="O172" s="3" t="n"/>
      <c r="P172" s="3" t="n"/>
      <c r="Q172" s="5">
        <f>IF(OR(O172="",P172=""),"",ROUND(O172-P172,2))</f>
        <v/>
      </c>
      <c r="R172" s="5">
        <f>IF(Q172="","",IF(Q172&gt;=Referencia!$B$8,"C","NC"))</f>
        <v/>
      </c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5">
        <f>IF(F172="","",(N172="NC")+(R172="NC")+(S172="Não")+(S172="Parcial")+(T172="Sim")+(U172="Sim")+(V172="Sim")+(W172="Sim")+(X172="Sim"))</f>
        <v/>
      </c>
      <c r="AB172" s="5">
        <f>IF(AA172="","",IF(AA172&gt;0,"Sim","Não"))</f>
        <v/>
      </c>
      <c r="AC172" s="3" t="n"/>
      <c r="AD172" s="3" t="n"/>
    </row>
    <row r="173">
      <c r="A173" s="3" t="n"/>
      <c r="B173" s="3" t="n"/>
      <c r="C173" s="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5">
        <f>IF(H173&lt;&gt;"",H173,IF(AND(I173&lt;&gt;"",J173&lt;&gt;""),ROUND(I173*TAN(RADIANS(J173))+IF(K173="",1.6,K173),2),""))</f>
        <v/>
      </c>
      <c r="M173" s="5">
        <f>IF(D173="","",IFERROR(IF(VLOOKUP(D173,Referencia!$A$2:$B$5,2,FALSE)="","",VLOOKUP(D173,Referencia!$A$2:$B$5,2,FALSE)),""))</f>
        <v/>
      </c>
      <c r="N173" s="5">
        <f>IF(OR(L173="",M173=""),"",IF(L173&gt;=M173,"C","NC"))</f>
        <v/>
      </c>
      <c r="O173" s="3" t="n"/>
      <c r="P173" s="3" t="n"/>
      <c r="Q173" s="5">
        <f>IF(OR(O173="",P173=""),"",ROUND(O173-P173,2))</f>
        <v/>
      </c>
      <c r="R173" s="5">
        <f>IF(Q173="","",IF(Q173&gt;=Referencia!$B$8,"C","NC"))</f>
        <v/>
      </c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5">
        <f>IF(F173="","",(N173="NC")+(R173="NC")+(S173="Não")+(S173="Parcial")+(T173="Sim")+(U173="Sim")+(V173="Sim")+(W173="Sim")+(X173="Sim"))</f>
        <v/>
      </c>
      <c r="AB173" s="5">
        <f>IF(AA173="","",IF(AA173&gt;0,"Sim","Não"))</f>
        <v/>
      </c>
      <c r="AC173" s="3" t="n"/>
      <c r="AD173" s="3" t="n"/>
    </row>
    <row r="174">
      <c r="A174" s="3" t="n"/>
      <c r="B174" s="3" t="n"/>
      <c r="C174" s="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5">
        <f>IF(H174&lt;&gt;"",H174,IF(AND(I174&lt;&gt;"",J174&lt;&gt;""),ROUND(I174*TAN(RADIANS(J174))+IF(K174="",1.6,K174),2),""))</f>
        <v/>
      </c>
      <c r="M174" s="5">
        <f>IF(D174="","",IFERROR(IF(VLOOKUP(D174,Referencia!$A$2:$B$5,2,FALSE)="","",VLOOKUP(D174,Referencia!$A$2:$B$5,2,FALSE)),""))</f>
        <v/>
      </c>
      <c r="N174" s="5">
        <f>IF(OR(L174="",M174=""),"",IF(L174&gt;=M174,"C","NC"))</f>
        <v/>
      </c>
      <c r="O174" s="3" t="n"/>
      <c r="P174" s="3" t="n"/>
      <c r="Q174" s="5">
        <f>IF(OR(O174="",P174=""),"",ROUND(O174-P174,2))</f>
        <v/>
      </c>
      <c r="R174" s="5">
        <f>IF(Q174="","",IF(Q174&gt;=Referencia!$B$8,"C","NC"))</f>
        <v/>
      </c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5">
        <f>IF(F174="","",(N174="NC")+(R174="NC")+(S174="Não")+(S174="Parcial")+(T174="Sim")+(U174="Sim")+(V174="Sim")+(W174="Sim")+(X174="Sim"))</f>
        <v/>
      </c>
      <c r="AB174" s="5">
        <f>IF(AA174="","",IF(AA174&gt;0,"Sim","Não"))</f>
        <v/>
      </c>
      <c r="AC174" s="3" t="n"/>
      <c r="AD174" s="3" t="n"/>
    </row>
    <row r="175">
      <c r="A175" s="3" t="n"/>
      <c r="B175" s="3" t="n"/>
      <c r="C175" s="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5">
        <f>IF(H175&lt;&gt;"",H175,IF(AND(I175&lt;&gt;"",J175&lt;&gt;""),ROUND(I175*TAN(RADIANS(J175))+IF(K175="",1.6,K175),2),""))</f>
        <v/>
      </c>
      <c r="M175" s="5">
        <f>IF(D175="","",IFERROR(IF(VLOOKUP(D175,Referencia!$A$2:$B$5,2,FALSE)="","",VLOOKUP(D175,Referencia!$A$2:$B$5,2,FALSE)),""))</f>
        <v/>
      </c>
      <c r="N175" s="5">
        <f>IF(OR(L175="",M175=""),"",IF(L175&gt;=M175,"C","NC"))</f>
        <v/>
      </c>
      <c r="O175" s="3" t="n"/>
      <c r="P175" s="3" t="n"/>
      <c r="Q175" s="5">
        <f>IF(OR(O175="",P175=""),"",ROUND(O175-P175,2))</f>
        <v/>
      </c>
      <c r="R175" s="5">
        <f>IF(Q175="","",IF(Q175&gt;=Referencia!$B$8,"C","NC"))</f>
        <v/>
      </c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5">
        <f>IF(F175="","",(N175="NC")+(R175="NC")+(S175="Não")+(S175="Parcial")+(T175="Sim")+(U175="Sim")+(V175="Sim")+(W175="Sim")+(X175="Sim"))</f>
        <v/>
      </c>
      <c r="AB175" s="5">
        <f>IF(AA175="","",IF(AA175&gt;0,"Sim","Não"))</f>
        <v/>
      </c>
      <c r="AC175" s="3" t="n"/>
      <c r="AD175" s="3" t="n"/>
    </row>
    <row r="176">
      <c r="A176" s="3" t="n"/>
      <c r="B176" s="3" t="n"/>
      <c r="C176" s="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5">
        <f>IF(H176&lt;&gt;"",H176,IF(AND(I176&lt;&gt;"",J176&lt;&gt;""),ROUND(I176*TAN(RADIANS(J176))+IF(K176="",1.6,K176),2),""))</f>
        <v/>
      </c>
      <c r="M176" s="5">
        <f>IF(D176="","",IFERROR(IF(VLOOKUP(D176,Referencia!$A$2:$B$5,2,FALSE)="","",VLOOKUP(D176,Referencia!$A$2:$B$5,2,FALSE)),""))</f>
        <v/>
      </c>
      <c r="N176" s="5">
        <f>IF(OR(L176="",M176=""),"",IF(L176&gt;=M176,"C","NC"))</f>
        <v/>
      </c>
      <c r="O176" s="3" t="n"/>
      <c r="P176" s="3" t="n"/>
      <c r="Q176" s="5">
        <f>IF(OR(O176="",P176=""),"",ROUND(O176-P176,2))</f>
        <v/>
      </c>
      <c r="R176" s="5">
        <f>IF(Q176="","",IF(Q176&gt;=Referencia!$B$8,"C","NC"))</f>
        <v/>
      </c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5">
        <f>IF(F176="","",(N176="NC")+(R176="NC")+(S176="Não")+(S176="Parcial")+(T176="Sim")+(U176="Sim")+(V176="Sim")+(W176="Sim")+(X176="Sim"))</f>
        <v/>
      </c>
      <c r="AB176" s="5">
        <f>IF(AA176="","",IF(AA176&gt;0,"Sim","Não"))</f>
        <v/>
      </c>
      <c r="AC176" s="3" t="n"/>
      <c r="AD176" s="3" t="n"/>
    </row>
    <row r="177">
      <c r="A177" s="3" t="n"/>
      <c r="B177" s="3" t="n"/>
      <c r="C177" s="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5">
        <f>IF(H177&lt;&gt;"",H177,IF(AND(I177&lt;&gt;"",J177&lt;&gt;""),ROUND(I177*TAN(RADIANS(J177))+IF(K177="",1.6,K177),2),""))</f>
        <v/>
      </c>
      <c r="M177" s="5">
        <f>IF(D177="","",IFERROR(IF(VLOOKUP(D177,Referencia!$A$2:$B$5,2,FALSE)="","",VLOOKUP(D177,Referencia!$A$2:$B$5,2,FALSE)),""))</f>
        <v/>
      </c>
      <c r="N177" s="5">
        <f>IF(OR(L177="",M177=""),"",IF(L177&gt;=M177,"C","NC"))</f>
        <v/>
      </c>
      <c r="O177" s="3" t="n"/>
      <c r="P177" s="3" t="n"/>
      <c r="Q177" s="5">
        <f>IF(OR(O177="",P177=""),"",ROUND(O177-P177,2))</f>
        <v/>
      </c>
      <c r="R177" s="5">
        <f>IF(Q177="","",IF(Q177&gt;=Referencia!$B$8,"C","NC"))</f>
        <v/>
      </c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5">
        <f>IF(F177="","",(N177="NC")+(R177="NC")+(S177="Não")+(S177="Parcial")+(T177="Sim")+(U177="Sim")+(V177="Sim")+(W177="Sim")+(X177="Sim"))</f>
        <v/>
      </c>
      <c r="AB177" s="5">
        <f>IF(AA177="","",IF(AA177&gt;0,"Sim","Não"))</f>
        <v/>
      </c>
      <c r="AC177" s="3" t="n"/>
      <c r="AD177" s="3" t="n"/>
    </row>
    <row r="178">
      <c r="A178" s="3" t="n"/>
      <c r="B178" s="3" t="n"/>
      <c r="C178" s="4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5">
        <f>IF(H178&lt;&gt;"",H178,IF(AND(I178&lt;&gt;"",J178&lt;&gt;""),ROUND(I178*TAN(RADIANS(J178))+IF(K178="",1.6,K178),2),""))</f>
        <v/>
      </c>
      <c r="M178" s="5">
        <f>IF(D178="","",IFERROR(IF(VLOOKUP(D178,Referencia!$A$2:$B$5,2,FALSE)="","",VLOOKUP(D178,Referencia!$A$2:$B$5,2,FALSE)),""))</f>
        <v/>
      </c>
      <c r="N178" s="5">
        <f>IF(OR(L178="",M178=""),"",IF(L178&gt;=M178,"C","NC"))</f>
        <v/>
      </c>
      <c r="O178" s="3" t="n"/>
      <c r="P178" s="3" t="n"/>
      <c r="Q178" s="5">
        <f>IF(OR(O178="",P178=""),"",ROUND(O178-P178,2))</f>
        <v/>
      </c>
      <c r="R178" s="5">
        <f>IF(Q178="","",IF(Q178&gt;=Referencia!$B$8,"C","NC"))</f>
        <v/>
      </c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5">
        <f>IF(F178="","",(N178="NC")+(R178="NC")+(S178="Não")+(S178="Parcial")+(T178="Sim")+(U178="Sim")+(V178="Sim")+(W178="Sim")+(X178="Sim"))</f>
        <v/>
      </c>
      <c r="AB178" s="5">
        <f>IF(AA178="","",IF(AA178&gt;0,"Sim","Não"))</f>
        <v/>
      </c>
      <c r="AC178" s="3" t="n"/>
      <c r="AD178" s="3" t="n"/>
    </row>
    <row r="179">
      <c r="A179" s="3" t="n"/>
      <c r="B179" s="3" t="n"/>
      <c r="C179" s="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5">
        <f>IF(H179&lt;&gt;"",H179,IF(AND(I179&lt;&gt;"",J179&lt;&gt;""),ROUND(I179*TAN(RADIANS(J179))+IF(K179="",1.6,K179),2),""))</f>
        <v/>
      </c>
      <c r="M179" s="5">
        <f>IF(D179="","",IFERROR(IF(VLOOKUP(D179,Referencia!$A$2:$B$5,2,FALSE)="","",VLOOKUP(D179,Referencia!$A$2:$B$5,2,FALSE)),""))</f>
        <v/>
      </c>
      <c r="N179" s="5">
        <f>IF(OR(L179="",M179=""),"",IF(L179&gt;=M179,"C","NC"))</f>
        <v/>
      </c>
      <c r="O179" s="3" t="n"/>
      <c r="P179" s="3" t="n"/>
      <c r="Q179" s="5">
        <f>IF(OR(O179="",P179=""),"",ROUND(O179-P179,2))</f>
        <v/>
      </c>
      <c r="R179" s="5">
        <f>IF(Q179="","",IF(Q179&gt;=Referencia!$B$8,"C","NC"))</f>
        <v/>
      </c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5">
        <f>IF(F179="","",(N179="NC")+(R179="NC")+(S179="Não")+(S179="Parcial")+(T179="Sim")+(U179="Sim")+(V179="Sim")+(W179="Sim")+(X179="Sim"))</f>
        <v/>
      </c>
      <c r="AB179" s="5">
        <f>IF(AA179="","",IF(AA179&gt;0,"Sim","Não"))</f>
        <v/>
      </c>
      <c r="AC179" s="3" t="n"/>
      <c r="AD179" s="3" t="n"/>
    </row>
    <row r="180">
      <c r="A180" s="3" t="n"/>
      <c r="B180" s="3" t="n"/>
      <c r="C180" s="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5">
        <f>IF(H180&lt;&gt;"",H180,IF(AND(I180&lt;&gt;"",J180&lt;&gt;""),ROUND(I180*TAN(RADIANS(J180))+IF(K180="",1.6,K180),2),""))</f>
        <v/>
      </c>
      <c r="M180" s="5">
        <f>IF(D180="","",IFERROR(IF(VLOOKUP(D180,Referencia!$A$2:$B$5,2,FALSE)="","",VLOOKUP(D180,Referencia!$A$2:$B$5,2,FALSE)),""))</f>
        <v/>
      </c>
      <c r="N180" s="5">
        <f>IF(OR(L180="",M180=""),"",IF(L180&gt;=M180,"C","NC"))</f>
        <v/>
      </c>
      <c r="O180" s="3" t="n"/>
      <c r="P180" s="3" t="n"/>
      <c r="Q180" s="5">
        <f>IF(OR(O180="",P180=""),"",ROUND(O180-P180,2))</f>
        <v/>
      </c>
      <c r="R180" s="5">
        <f>IF(Q180="","",IF(Q180&gt;=Referencia!$B$8,"C","NC"))</f>
        <v/>
      </c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5">
        <f>IF(F180="","",(N180="NC")+(R180="NC")+(S180="Não")+(S180="Parcial")+(T180="Sim")+(U180="Sim")+(V180="Sim")+(W180="Sim")+(X180="Sim"))</f>
        <v/>
      </c>
      <c r="AB180" s="5">
        <f>IF(AA180="","",IF(AA180&gt;0,"Sim","Não"))</f>
        <v/>
      </c>
      <c r="AC180" s="3" t="n"/>
      <c r="AD180" s="3" t="n"/>
    </row>
    <row r="181">
      <c r="A181" s="3" t="n"/>
      <c r="B181" s="3" t="n"/>
      <c r="C181" s="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5">
        <f>IF(H181&lt;&gt;"",H181,IF(AND(I181&lt;&gt;"",J181&lt;&gt;""),ROUND(I181*TAN(RADIANS(J181))+IF(K181="",1.6,K181),2),""))</f>
        <v/>
      </c>
      <c r="M181" s="5">
        <f>IF(D181="","",IFERROR(IF(VLOOKUP(D181,Referencia!$A$2:$B$5,2,FALSE)="","",VLOOKUP(D181,Referencia!$A$2:$B$5,2,FALSE)),""))</f>
        <v/>
      </c>
      <c r="N181" s="5">
        <f>IF(OR(L181="",M181=""),"",IF(L181&gt;=M181,"C","NC"))</f>
        <v/>
      </c>
      <c r="O181" s="3" t="n"/>
      <c r="P181" s="3" t="n"/>
      <c r="Q181" s="5">
        <f>IF(OR(O181="",P181=""),"",ROUND(O181-P181,2))</f>
        <v/>
      </c>
      <c r="R181" s="5">
        <f>IF(Q181="","",IF(Q181&gt;=Referencia!$B$8,"C","NC"))</f>
        <v/>
      </c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5">
        <f>IF(F181="","",(N181="NC")+(R181="NC")+(S181="Não")+(S181="Parcial")+(T181="Sim")+(U181="Sim")+(V181="Sim")+(W181="Sim")+(X181="Sim"))</f>
        <v/>
      </c>
      <c r="AB181" s="5">
        <f>IF(AA181="","",IF(AA181&gt;0,"Sim","Não"))</f>
        <v/>
      </c>
      <c r="AC181" s="3" t="n"/>
      <c r="AD181" s="3" t="n"/>
    </row>
    <row r="182">
      <c r="A182" s="3" t="n"/>
      <c r="B182" s="3" t="n"/>
      <c r="C182" s="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5">
        <f>IF(H182&lt;&gt;"",H182,IF(AND(I182&lt;&gt;"",J182&lt;&gt;""),ROUND(I182*TAN(RADIANS(J182))+IF(K182="",1.6,K182),2),""))</f>
        <v/>
      </c>
      <c r="M182" s="5">
        <f>IF(D182="","",IFERROR(IF(VLOOKUP(D182,Referencia!$A$2:$B$5,2,FALSE)="","",VLOOKUP(D182,Referencia!$A$2:$B$5,2,FALSE)),""))</f>
        <v/>
      </c>
      <c r="N182" s="5">
        <f>IF(OR(L182="",M182=""),"",IF(L182&gt;=M182,"C","NC"))</f>
        <v/>
      </c>
      <c r="O182" s="3" t="n"/>
      <c r="P182" s="3" t="n"/>
      <c r="Q182" s="5">
        <f>IF(OR(O182="",P182=""),"",ROUND(O182-P182,2))</f>
        <v/>
      </c>
      <c r="R182" s="5">
        <f>IF(Q182="","",IF(Q182&gt;=Referencia!$B$8,"C","NC"))</f>
        <v/>
      </c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5">
        <f>IF(F182="","",(N182="NC")+(R182="NC")+(S182="Não")+(S182="Parcial")+(T182="Sim")+(U182="Sim")+(V182="Sim")+(W182="Sim")+(X182="Sim"))</f>
        <v/>
      </c>
      <c r="AB182" s="5">
        <f>IF(AA182="","",IF(AA182&gt;0,"Sim","Não"))</f>
        <v/>
      </c>
      <c r="AC182" s="3" t="n"/>
      <c r="AD182" s="3" t="n"/>
    </row>
    <row r="183">
      <c r="A183" s="3" t="n"/>
      <c r="B183" s="3" t="n"/>
      <c r="C183" s="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5">
        <f>IF(H183&lt;&gt;"",H183,IF(AND(I183&lt;&gt;"",J183&lt;&gt;""),ROUND(I183*TAN(RADIANS(J183))+IF(K183="",1.6,K183),2),""))</f>
        <v/>
      </c>
      <c r="M183" s="5">
        <f>IF(D183="","",IFERROR(IF(VLOOKUP(D183,Referencia!$A$2:$B$5,2,FALSE)="","",VLOOKUP(D183,Referencia!$A$2:$B$5,2,FALSE)),""))</f>
        <v/>
      </c>
      <c r="N183" s="5">
        <f>IF(OR(L183="",M183=""),"",IF(L183&gt;=M183,"C","NC"))</f>
        <v/>
      </c>
      <c r="O183" s="3" t="n"/>
      <c r="P183" s="3" t="n"/>
      <c r="Q183" s="5">
        <f>IF(OR(O183="",P183=""),"",ROUND(O183-P183,2))</f>
        <v/>
      </c>
      <c r="R183" s="5">
        <f>IF(Q183="","",IF(Q183&gt;=Referencia!$B$8,"C","NC"))</f>
        <v/>
      </c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5">
        <f>IF(F183="","",(N183="NC")+(R183="NC")+(S183="Não")+(S183="Parcial")+(T183="Sim")+(U183="Sim")+(V183="Sim")+(W183="Sim")+(X183="Sim"))</f>
        <v/>
      </c>
      <c r="AB183" s="5">
        <f>IF(AA183="","",IF(AA183&gt;0,"Sim","Não"))</f>
        <v/>
      </c>
      <c r="AC183" s="3" t="n"/>
      <c r="AD183" s="3" t="n"/>
    </row>
    <row r="184">
      <c r="A184" s="3" t="n"/>
      <c r="B184" s="3" t="n"/>
      <c r="C184" s="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5">
        <f>IF(H184&lt;&gt;"",H184,IF(AND(I184&lt;&gt;"",J184&lt;&gt;""),ROUND(I184*TAN(RADIANS(J184))+IF(K184="",1.6,K184),2),""))</f>
        <v/>
      </c>
      <c r="M184" s="5">
        <f>IF(D184="","",IFERROR(IF(VLOOKUP(D184,Referencia!$A$2:$B$5,2,FALSE)="","",VLOOKUP(D184,Referencia!$A$2:$B$5,2,FALSE)),""))</f>
        <v/>
      </c>
      <c r="N184" s="5">
        <f>IF(OR(L184="",M184=""),"",IF(L184&gt;=M184,"C","NC"))</f>
        <v/>
      </c>
      <c r="O184" s="3" t="n"/>
      <c r="P184" s="3" t="n"/>
      <c r="Q184" s="5">
        <f>IF(OR(O184="",P184=""),"",ROUND(O184-P184,2))</f>
        <v/>
      </c>
      <c r="R184" s="5">
        <f>IF(Q184="","",IF(Q184&gt;=Referencia!$B$8,"C","NC"))</f>
        <v/>
      </c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5">
        <f>IF(F184="","",(N184="NC")+(R184="NC")+(S184="Não")+(S184="Parcial")+(T184="Sim")+(U184="Sim")+(V184="Sim")+(W184="Sim")+(X184="Sim"))</f>
        <v/>
      </c>
      <c r="AB184" s="5">
        <f>IF(AA184="","",IF(AA184&gt;0,"Sim","Não"))</f>
        <v/>
      </c>
      <c r="AC184" s="3" t="n"/>
      <c r="AD184" s="3" t="n"/>
    </row>
    <row r="185">
      <c r="A185" s="3" t="n"/>
      <c r="B185" s="3" t="n"/>
      <c r="C185" s="4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5">
        <f>IF(H185&lt;&gt;"",H185,IF(AND(I185&lt;&gt;"",J185&lt;&gt;""),ROUND(I185*TAN(RADIANS(J185))+IF(K185="",1.6,K185),2),""))</f>
        <v/>
      </c>
      <c r="M185" s="5">
        <f>IF(D185="","",IFERROR(IF(VLOOKUP(D185,Referencia!$A$2:$B$5,2,FALSE)="","",VLOOKUP(D185,Referencia!$A$2:$B$5,2,FALSE)),""))</f>
        <v/>
      </c>
      <c r="N185" s="5">
        <f>IF(OR(L185="",M185=""),"",IF(L185&gt;=M185,"C","NC"))</f>
        <v/>
      </c>
      <c r="O185" s="3" t="n"/>
      <c r="P185" s="3" t="n"/>
      <c r="Q185" s="5">
        <f>IF(OR(O185="",P185=""),"",ROUND(O185-P185,2))</f>
        <v/>
      </c>
      <c r="R185" s="5">
        <f>IF(Q185="","",IF(Q185&gt;=Referencia!$B$8,"C","NC"))</f>
        <v/>
      </c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5">
        <f>IF(F185="","",(N185="NC")+(R185="NC")+(S185="Não")+(S185="Parcial")+(T185="Sim")+(U185="Sim")+(V185="Sim")+(W185="Sim")+(X185="Sim"))</f>
        <v/>
      </c>
      <c r="AB185" s="5">
        <f>IF(AA185="","",IF(AA185&gt;0,"Sim","Não"))</f>
        <v/>
      </c>
      <c r="AC185" s="3" t="n"/>
      <c r="AD185" s="3" t="n"/>
    </row>
    <row r="186">
      <c r="A186" s="3" t="n"/>
      <c r="B186" s="3" t="n"/>
      <c r="C186" s="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5">
        <f>IF(H186&lt;&gt;"",H186,IF(AND(I186&lt;&gt;"",J186&lt;&gt;""),ROUND(I186*TAN(RADIANS(J186))+IF(K186="",1.6,K186),2),""))</f>
        <v/>
      </c>
      <c r="M186" s="5">
        <f>IF(D186="","",IFERROR(IF(VLOOKUP(D186,Referencia!$A$2:$B$5,2,FALSE)="","",VLOOKUP(D186,Referencia!$A$2:$B$5,2,FALSE)),""))</f>
        <v/>
      </c>
      <c r="N186" s="5">
        <f>IF(OR(L186="",M186=""),"",IF(L186&gt;=M186,"C","NC"))</f>
        <v/>
      </c>
      <c r="O186" s="3" t="n"/>
      <c r="P186" s="3" t="n"/>
      <c r="Q186" s="5">
        <f>IF(OR(O186="",P186=""),"",ROUND(O186-P186,2))</f>
        <v/>
      </c>
      <c r="R186" s="5">
        <f>IF(Q186="","",IF(Q186&gt;=Referencia!$B$8,"C","NC"))</f>
        <v/>
      </c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5">
        <f>IF(F186="","",(N186="NC")+(R186="NC")+(S186="Não")+(S186="Parcial")+(T186="Sim")+(U186="Sim")+(V186="Sim")+(W186="Sim")+(X186="Sim"))</f>
        <v/>
      </c>
      <c r="AB186" s="5">
        <f>IF(AA186="","",IF(AA186&gt;0,"Sim","Não"))</f>
        <v/>
      </c>
      <c r="AC186" s="3" t="n"/>
      <c r="AD186" s="3" t="n"/>
    </row>
    <row r="187">
      <c r="A187" s="3" t="n"/>
      <c r="B187" s="3" t="n"/>
      <c r="C187" s="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5">
        <f>IF(H187&lt;&gt;"",H187,IF(AND(I187&lt;&gt;"",J187&lt;&gt;""),ROUND(I187*TAN(RADIANS(J187))+IF(K187="",1.6,K187),2),""))</f>
        <v/>
      </c>
      <c r="M187" s="5">
        <f>IF(D187="","",IFERROR(IF(VLOOKUP(D187,Referencia!$A$2:$B$5,2,FALSE)="","",VLOOKUP(D187,Referencia!$A$2:$B$5,2,FALSE)),""))</f>
        <v/>
      </c>
      <c r="N187" s="5">
        <f>IF(OR(L187="",M187=""),"",IF(L187&gt;=M187,"C","NC"))</f>
        <v/>
      </c>
      <c r="O187" s="3" t="n"/>
      <c r="P187" s="3" t="n"/>
      <c r="Q187" s="5">
        <f>IF(OR(O187="",P187=""),"",ROUND(O187-P187,2))</f>
        <v/>
      </c>
      <c r="R187" s="5">
        <f>IF(Q187="","",IF(Q187&gt;=Referencia!$B$8,"C","NC"))</f>
        <v/>
      </c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5">
        <f>IF(F187="","",(N187="NC")+(R187="NC")+(S187="Não")+(S187="Parcial")+(T187="Sim")+(U187="Sim")+(V187="Sim")+(W187="Sim")+(X187="Sim"))</f>
        <v/>
      </c>
      <c r="AB187" s="5">
        <f>IF(AA187="","",IF(AA187&gt;0,"Sim","Não"))</f>
        <v/>
      </c>
      <c r="AC187" s="3" t="n"/>
      <c r="AD187" s="3" t="n"/>
    </row>
    <row r="188">
      <c r="A188" s="3" t="n"/>
      <c r="B188" s="3" t="n"/>
      <c r="C188" s="4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5">
        <f>IF(H188&lt;&gt;"",H188,IF(AND(I188&lt;&gt;"",J188&lt;&gt;""),ROUND(I188*TAN(RADIANS(J188))+IF(K188="",1.6,K188),2),""))</f>
        <v/>
      </c>
      <c r="M188" s="5">
        <f>IF(D188="","",IFERROR(IF(VLOOKUP(D188,Referencia!$A$2:$B$5,2,FALSE)="","",VLOOKUP(D188,Referencia!$A$2:$B$5,2,FALSE)),""))</f>
        <v/>
      </c>
      <c r="N188" s="5">
        <f>IF(OR(L188="",M188=""),"",IF(L188&gt;=M188,"C","NC"))</f>
        <v/>
      </c>
      <c r="O188" s="3" t="n"/>
      <c r="P188" s="3" t="n"/>
      <c r="Q188" s="5">
        <f>IF(OR(O188="",P188=""),"",ROUND(O188-P188,2))</f>
        <v/>
      </c>
      <c r="R188" s="5">
        <f>IF(Q188="","",IF(Q188&gt;=Referencia!$B$8,"C","NC"))</f>
        <v/>
      </c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5">
        <f>IF(F188="","",(N188="NC")+(R188="NC")+(S188="Não")+(S188="Parcial")+(T188="Sim")+(U188="Sim")+(V188="Sim")+(W188="Sim")+(X188="Sim"))</f>
        <v/>
      </c>
      <c r="AB188" s="5">
        <f>IF(AA188="","",IF(AA188&gt;0,"Sim","Não"))</f>
        <v/>
      </c>
      <c r="AC188" s="3" t="n"/>
      <c r="AD188" s="3" t="n"/>
    </row>
    <row r="189">
      <c r="A189" s="3" t="n"/>
      <c r="B189" s="3" t="n"/>
      <c r="C189" s="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5">
        <f>IF(H189&lt;&gt;"",H189,IF(AND(I189&lt;&gt;"",J189&lt;&gt;""),ROUND(I189*TAN(RADIANS(J189))+IF(K189="",1.6,K189),2),""))</f>
        <v/>
      </c>
      <c r="M189" s="5">
        <f>IF(D189="","",IFERROR(IF(VLOOKUP(D189,Referencia!$A$2:$B$5,2,FALSE)="","",VLOOKUP(D189,Referencia!$A$2:$B$5,2,FALSE)),""))</f>
        <v/>
      </c>
      <c r="N189" s="5">
        <f>IF(OR(L189="",M189=""),"",IF(L189&gt;=M189,"C","NC"))</f>
        <v/>
      </c>
      <c r="O189" s="3" t="n"/>
      <c r="P189" s="3" t="n"/>
      <c r="Q189" s="5">
        <f>IF(OR(O189="",P189=""),"",ROUND(O189-P189,2))</f>
        <v/>
      </c>
      <c r="R189" s="5">
        <f>IF(Q189="","",IF(Q189&gt;=Referencia!$B$8,"C","NC"))</f>
        <v/>
      </c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5">
        <f>IF(F189="","",(N189="NC")+(R189="NC")+(S189="Não")+(S189="Parcial")+(T189="Sim")+(U189="Sim")+(V189="Sim")+(W189="Sim")+(X189="Sim"))</f>
        <v/>
      </c>
      <c r="AB189" s="5">
        <f>IF(AA189="","",IF(AA189&gt;0,"Sim","Não"))</f>
        <v/>
      </c>
      <c r="AC189" s="3" t="n"/>
      <c r="AD189" s="3" t="n"/>
    </row>
    <row r="190">
      <c r="A190" s="3" t="n"/>
      <c r="B190" s="3" t="n"/>
      <c r="C190" s="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5">
        <f>IF(H190&lt;&gt;"",H190,IF(AND(I190&lt;&gt;"",J190&lt;&gt;""),ROUND(I190*TAN(RADIANS(J190))+IF(K190="",1.6,K190),2),""))</f>
        <v/>
      </c>
      <c r="M190" s="5">
        <f>IF(D190="","",IFERROR(IF(VLOOKUP(D190,Referencia!$A$2:$B$5,2,FALSE)="","",VLOOKUP(D190,Referencia!$A$2:$B$5,2,FALSE)),""))</f>
        <v/>
      </c>
      <c r="N190" s="5">
        <f>IF(OR(L190="",M190=""),"",IF(L190&gt;=M190,"C","NC"))</f>
        <v/>
      </c>
      <c r="O190" s="3" t="n"/>
      <c r="P190" s="3" t="n"/>
      <c r="Q190" s="5">
        <f>IF(OR(O190="",P190=""),"",ROUND(O190-P190,2))</f>
        <v/>
      </c>
      <c r="R190" s="5">
        <f>IF(Q190="","",IF(Q190&gt;=Referencia!$B$8,"C","NC"))</f>
        <v/>
      </c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5">
        <f>IF(F190="","",(N190="NC")+(R190="NC")+(S190="Não")+(S190="Parcial")+(T190="Sim")+(U190="Sim")+(V190="Sim")+(W190="Sim")+(X190="Sim"))</f>
        <v/>
      </c>
      <c r="AB190" s="5">
        <f>IF(AA190="","",IF(AA190&gt;0,"Sim","Não"))</f>
        <v/>
      </c>
      <c r="AC190" s="3" t="n"/>
      <c r="AD190" s="3" t="n"/>
    </row>
    <row r="191">
      <c r="A191" s="3" t="n"/>
      <c r="B191" s="3" t="n"/>
      <c r="C191" s="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5">
        <f>IF(H191&lt;&gt;"",H191,IF(AND(I191&lt;&gt;"",J191&lt;&gt;""),ROUND(I191*TAN(RADIANS(J191))+IF(K191="",1.6,K191),2),""))</f>
        <v/>
      </c>
      <c r="M191" s="5">
        <f>IF(D191="","",IFERROR(IF(VLOOKUP(D191,Referencia!$A$2:$B$5,2,FALSE)="","",VLOOKUP(D191,Referencia!$A$2:$B$5,2,FALSE)),""))</f>
        <v/>
      </c>
      <c r="N191" s="5">
        <f>IF(OR(L191="",M191=""),"",IF(L191&gt;=M191,"C","NC"))</f>
        <v/>
      </c>
      <c r="O191" s="3" t="n"/>
      <c r="P191" s="3" t="n"/>
      <c r="Q191" s="5">
        <f>IF(OR(O191="",P191=""),"",ROUND(O191-P191,2))</f>
        <v/>
      </c>
      <c r="R191" s="5">
        <f>IF(Q191="","",IF(Q191&gt;=Referencia!$B$8,"C","NC"))</f>
        <v/>
      </c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5">
        <f>IF(F191="","",(N191="NC")+(R191="NC")+(S191="Não")+(S191="Parcial")+(T191="Sim")+(U191="Sim")+(V191="Sim")+(W191="Sim")+(X191="Sim"))</f>
        <v/>
      </c>
      <c r="AB191" s="5">
        <f>IF(AA191="","",IF(AA191&gt;0,"Sim","Não"))</f>
        <v/>
      </c>
      <c r="AC191" s="3" t="n"/>
      <c r="AD191" s="3" t="n"/>
    </row>
    <row r="192">
      <c r="A192" s="3" t="n"/>
      <c r="B192" s="3" t="n"/>
      <c r="C192" s="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5">
        <f>IF(H192&lt;&gt;"",H192,IF(AND(I192&lt;&gt;"",J192&lt;&gt;""),ROUND(I192*TAN(RADIANS(J192))+IF(K192="",1.6,K192),2),""))</f>
        <v/>
      </c>
      <c r="M192" s="5">
        <f>IF(D192="","",IFERROR(IF(VLOOKUP(D192,Referencia!$A$2:$B$5,2,FALSE)="","",VLOOKUP(D192,Referencia!$A$2:$B$5,2,FALSE)),""))</f>
        <v/>
      </c>
      <c r="N192" s="5">
        <f>IF(OR(L192="",M192=""),"",IF(L192&gt;=M192,"C","NC"))</f>
        <v/>
      </c>
      <c r="O192" s="3" t="n"/>
      <c r="P192" s="3" t="n"/>
      <c r="Q192" s="5">
        <f>IF(OR(O192="",P192=""),"",ROUND(O192-P192,2))</f>
        <v/>
      </c>
      <c r="R192" s="5">
        <f>IF(Q192="","",IF(Q192&gt;=Referencia!$B$8,"C","NC"))</f>
        <v/>
      </c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5">
        <f>IF(F192="","",(N192="NC")+(R192="NC")+(S192="Não")+(S192="Parcial")+(T192="Sim")+(U192="Sim")+(V192="Sim")+(W192="Sim")+(X192="Sim"))</f>
        <v/>
      </c>
      <c r="AB192" s="5">
        <f>IF(AA192="","",IF(AA192&gt;0,"Sim","Não"))</f>
        <v/>
      </c>
      <c r="AC192" s="3" t="n"/>
      <c r="AD192" s="3" t="n"/>
    </row>
    <row r="193">
      <c r="A193" s="3" t="n"/>
      <c r="B193" s="3" t="n"/>
      <c r="C193" s="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5">
        <f>IF(H193&lt;&gt;"",H193,IF(AND(I193&lt;&gt;"",J193&lt;&gt;""),ROUND(I193*TAN(RADIANS(J193))+IF(K193="",1.6,K193),2),""))</f>
        <v/>
      </c>
      <c r="M193" s="5">
        <f>IF(D193="","",IFERROR(IF(VLOOKUP(D193,Referencia!$A$2:$B$5,2,FALSE)="","",VLOOKUP(D193,Referencia!$A$2:$B$5,2,FALSE)),""))</f>
        <v/>
      </c>
      <c r="N193" s="5">
        <f>IF(OR(L193="",M193=""),"",IF(L193&gt;=M193,"C","NC"))</f>
        <v/>
      </c>
      <c r="O193" s="3" t="n"/>
      <c r="P193" s="3" t="n"/>
      <c r="Q193" s="5">
        <f>IF(OR(O193="",P193=""),"",ROUND(O193-P193,2))</f>
        <v/>
      </c>
      <c r="R193" s="5">
        <f>IF(Q193="","",IF(Q193&gt;=Referencia!$B$8,"C","NC"))</f>
        <v/>
      </c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5">
        <f>IF(F193="","",(N193="NC")+(R193="NC")+(S193="Não")+(S193="Parcial")+(T193="Sim")+(U193="Sim")+(V193="Sim")+(W193="Sim")+(X193="Sim"))</f>
        <v/>
      </c>
      <c r="AB193" s="5">
        <f>IF(AA193="","",IF(AA193&gt;0,"Sim","Não"))</f>
        <v/>
      </c>
      <c r="AC193" s="3" t="n"/>
      <c r="AD193" s="3" t="n"/>
    </row>
    <row r="194">
      <c r="A194" s="3" t="n"/>
      <c r="B194" s="3" t="n"/>
      <c r="C194" s="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5">
        <f>IF(H194&lt;&gt;"",H194,IF(AND(I194&lt;&gt;"",J194&lt;&gt;""),ROUND(I194*TAN(RADIANS(J194))+IF(K194="",1.6,K194),2),""))</f>
        <v/>
      </c>
      <c r="M194" s="5">
        <f>IF(D194="","",IFERROR(IF(VLOOKUP(D194,Referencia!$A$2:$B$5,2,FALSE)="","",VLOOKUP(D194,Referencia!$A$2:$B$5,2,FALSE)),""))</f>
        <v/>
      </c>
      <c r="N194" s="5">
        <f>IF(OR(L194="",M194=""),"",IF(L194&gt;=M194,"C","NC"))</f>
        <v/>
      </c>
      <c r="O194" s="3" t="n"/>
      <c r="P194" s="3" t="n"/>
      <c r="Q194" s="5">
        <f>IF(OR(O194="",P194=""),"",ROUND(O194-P194,2))</f>
        <v/>
      </c>
      <c r="R194" s="5">
        <f>IF(Q194="","",IF(Q194&gt;=Referencia!$B$8,"C","NC"))</f>
        <v/>
      </c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5">
        <f>IF(F194="","",(N194="NC")+(R194="NC")+(S194="Não")+(S194="Parcial")+(T194="Sim")+(U194="Sim")+(V194="Sim")+(W194="Sim")+(X194="Sim"))</f>
        <v/>
      </c>
      <c r="AB194" s="5">
        <f>IF(AA194="","",IF(AA194&gt;0,"Sim","Não"))</f>
        <v/>
      </c>
      <c r="AC194" s="3" t="n"/>
      <c r="AD194" s="3" t="n"/>
    </row>
    <row r="195">
      <c r="A195" s="3" t="n"/>
      <c r="B195" s="3" t="n"/>
      <c r="C195" s="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5">
        <f>IF(H195&lt;&gt;"",H195,IF(AND(I195&lt;&gt;"",J195&lt;&gt;""),ROUND(I195*TAN(RADIANS(J195))+IF(K195="",1.6,K195),2),""))</f>
        <v/>
      </c>
      <c r="M195" s="5">
        <f>IF(D195="","",IFERROR(IF(VLOOKUP(D195,Referencia!$A$2:$B$5,2,FALSE)="","",VLOOKUP(D195,Referencia!$A$2:$B$5,2,FALSE)),""))</f>
        <v/>
      </c>
      <c r="N195" s="5">
        <f>IF(OR(L195="",M195=""),"",IF(L195&gt;=M195,"C","NC"))</f>
        <v/>
      </c>
      <c r="O195" s="3" t="n"/>
      <c r="P195" s="3" t="n"/>
      <c r="Q195" s="5">
        <f>IF(OR(O195="",P195=""),"",ROUND(O195-P195,2))</f>
        <v/>
      </c>
      <c r="R195" s="5">
        <f>IF(Q195="","",IF(Q195&gt;=Referencia!$B$8,"C","NC"))</f>
        <v/>
      </c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5">
        <f>IF(F195="","",(N195="NC")+(R195="NC")+(S195="Não")+(S195="Parcial")+(T195="Sim")+(U195="Sim")+(V195="Sim")+(W195="Sim")+(X195="Sim"))</f>
        <v/>
      </c>
      <c r="AB195" s="5">
        <f>IF(AA195="","",IF(AA195&gt;0,"Sim","Não"))</f>
        <v/>
      </c>
      <c r="AC195" s="3" t="n"/>
      <c r="AD195" s="3" t="n"/>
    </row>
    <row r="196">
      <c r="A196" s="3" t="n"/>
      <c r="B196" s="3" t="n"/>
      <c r="C196" s="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5">
        <f>IF(H196&lt;&gt;"",H196,IF(AND(I196&lt;&gt;"",J196&lt;&gt;""),ROUND(I196*TAN(RADIANS(J196))+IF(K196="",1.6,K196),2),""))</f>
        <v/>
      </c>
      <c r="M196" s="5">
        <f>IF(D196="","",IFERROR(IF(VLOOKUP(D196,Referencia!$A$2:$B$5,2,FALSE)="","",VLOOKUP(D196,Referencia!$A$2:$B$5,2,FALSE)),""))</f>
        <v/>
      </c>
      <c r="N196" s="5">
        <f>IF(OR(L196="",M196=""),"",IF(L196&gt;=M196,"C","NC"))</f>
        <v/>
      </c>
      <c r="O196" s="3" t="n"/>
      <c r="P196" s="3" t="n"/>
      <c r="Q196" s="5">
        <f>IF(OR(O196="",P196=""),"",ROUND(O196-P196,2))</f>
        <v/>
      </c>
      <c r="R196" s="5">
        <f>IF(Q196="","",IF(Q196&gt;=Referencia!$B$8,"C","NC"))</f>
        <v/>
      </c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5">
        <f>IF(F196="","",(N196="NC")+(R196="NC")+(S196="Não")+(S196="Parcial")+(T196="Sim")+(U196="Sim")+(V196="Sim")+(W196="Sim")+(X196="Sim"))</f>
        <v/>
      </c>
      <c r="AB196" s="5">
        <f>IF(AA196="","",IF(AA196&gt;0,"Sim","Não"))</f>
        <v/>
      </c>
      <c r="AC196" s="3" t="n"/>
      <c r="AD196" s="3" t="n"/>
    </row>
    <row r="197">
      <c r="A197" s="3" t="n"/>
      <c r="B197" s="3" t="n"/>
      <c r="C197" s="4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5">
        <f>IF(H197&lt;&gt;"",H197,IF(AND(I197&lt;&gt;"",J197&lt;&gt;""),ROUND(I197*TAN(RADIANS(J197))+IF(K197="",1.6,K197),2),""))</f>
        <v/>
      </c>
      <c r="M197" s="5">
        <f>IF(D197="","",IFERROR(IF(VLOOKUP(D197,Referencia!$A$2:$B$5,2,FALSE)="","",VLOOKUP(D197,Referencia!$A$2:$B$5,2,FALSE)),""))</f>
        <v/>
      </c>
      <c r="N197" s="5">
        <f>IF(OR(L197="",M197=""),"",IF(L197&gt;=M197,"C","NC"))</f>
        <v/>
      </c>
      <c r="O197" s="3" t="n"/>
      <c r="P197" s="3" t="n"/>
      <c r="Q197" s="5">
        <f>IF(OR(O197="",P197=""),"",ROUND(O197-P197,2))</f>
        <v/>
      </c>
      <c r="R197" s="5">
        <f>IF(Q197="","",IF(Q197&gt;=Referencia!$B$8,"C","NC"))</f>
        <v/>
      </c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5">
        <f>IF(F197="","",(N197="NC")+(R197="NC")+(S197="Não")+(S197="Parcial")+(T197="Sim")+(U197="Sim")+(V197="Sim")+(W197="Sim")+(X197="Sim"))</f>
        <v/>
      </c>
      <c r="AB197" s="5">
        <f>IF(AA197="","",IF(AA197&gt;0,"Sim","Não"))</f>
        <v/>
      </c>
      <c r="AC197" s="3" t="n"/>
      <c r="AD197" s="3" t="n"/>
    </row>
    <row r="198">
      <c r="A198" s="3" t="n"/>
      <c r="B198" s="3" t="n"/>
      <c r="C198" s="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5">
        <f>IF(H198&lt;&gt;"",H198,IF(AND(I198&lt;&gt;"",J198&lt;&gt;""),ROUND(I198*TAN(RADIANS(J198))+IF(K198="",1.6,K198),2),""))</f>
        <v/>
      </c>
      <c r="M198" s="5">
        <f>IF(D198="","",IFERROR(IF(VLOOKUP(D198,Referencia!$A$2:$B$5,2,FALSE)="","",VLOOKUP(D198,Referencia!$A$2:$B$5,2,FALSE)),""))</f>
        <v/>
      </c>
      <c r="N198" s="5">
        <f>IF(OR(L198="",M198=""),"",IF(L198&gt;=M198,"C","NC"))</f>
        <v/>
      </c>
      <c r="O198" s="3" t="n"/>
      <c r="P198" s="3" t="n"/>
      <c r="Q198" s="5">
        <f>IF(OR(O198="",P198=""),"",ROUND(O198-P198,2))</f>
        <v/>
      </c>
      <c r="R198" s="5">
        <f>IF(Q198="","",IF(Q198&gt;=Referencia!$B$8,"C","NC"))</f>
        <v/>
      </c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5">
        <f>IF(F198="","",(N198="NC")+(R198="NC")+(S198="Não")+(S198="Parcial")+(T198="Sim")+(U198="Sim")+(V198="Sim")+(W198="Sim")+(X198="Sim"))</f>
        <v/>
      </c>
      <c r="AB198" s="5">
        <f>IF(AA198="","",IF(AA198&gt;0,"Sim","Não"))</f>
        <v/>
      </c>
      <c r="AC198" s="3" t="n"/>
      <c r="AD198" s="3" t="n"/>
    </row>
    <row r="199">
      <c r="A199" s="3" t="n"/>
      <c r="B199" s="3" t="n"/>
      <c r="C199" s="4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5">
        <f>IF(H199&lt;&gt;"",H199,IF(AND(I199&lt;&gt;"",J199&lt;&gt;""),ROUND(I199*TAN(RADIANS(J199))+IF(K199="",1.6,K199),2),""))</f>
        <v/>
      </c>
      <c r="M199" s="5">
        <f>IF(D199="","",IFERROR(IF(VLOOKUP(D199,Referencia!$A$2:$B$5,2,FALSE)="","",VLOOKUP(D199,Referencia!$A$2:$B$5,2,FALSE)),""))</f>
        <v/>
      </c>
      <c r="N199" s="5">
        <f>IF(OR(L199="",M199=""),"",IF(L199&gt;=M199,"C","NC"))</f>
        <v/>
      </c>
      <c r="O199" s="3" t="n"/>
      <c r="P199" s="3" t="n"/>
      <c r="Q199" s="5">
        <f>IF(OR(O199="",P199=""),"",ROUND(O199-P199,2))</f>
        <v/>
      </c>
      <c r="R199" s="5">
        <f>IF(Q199="","",IF(Q199&gt;=Referencia!$B$8,"C","NC"))</f>
        <v/>
      </c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5">
        <f>IF(F199="","",(N199="NC")+(R199="NC")+(S199="Não")+(S199="Parcial")+(T199="Sim")+(U199="Sim")+(V199="Sim")+(W199="Sim")+(X199="Sim"))</f>
        <v/>
      </c>
      <c r="AB199" s="5">
        <f>IF(AA199="","",IF(AA199&gt;0,"Sim","Não"))</f>
        <v/>
      </c>
      <c r="AC199" s="3" t="n"/>
      <c r="AD199" s="3" t="n"/>
    </row>
    <row r="200">
      <c r="A200" s="3" t="n"/>
      <c r="B200" s="3" t="n"/>
      <c r="C200" s="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5">
        <f>IF(H200&lt;&gt;"",H200,IF(AND(I200&lt;&gt;"",J200&lt;&gt;""),ROUND(I200*TAN(RADIANS(J200))+IF(K200="",1.6,K200),2),""))</f>
        <v/>
      </c>
      <c r="M200" s="5">
        <f>IF(D200="","",IFERROR(IF(VLOOKUP(D200,Referencia!$A$2:$B$5,2,FALSE)="","",VLOOKUP(D200,Referencia!$A$2:$B$5,2,FALSE)),""))</f>
        <v/>
      </c>
      <c r="N200" s="5">
        <f>IF(OR(L200="",M200=""),"",IF(L200&gt;=M200,"C","NC"))</f>
        <v/>
      </c>
      <c r="O200" s="3" t="n"/>
      <c r="P200" s="3" t="n"/>
      <c r="Q200" s="5">
        <f>IF(OR(O200="",P200=""),"",ROUND(O200-P200,2))</f>
        <v/>
      </c>
      <c r="R200" s="5">
        <f>IF(Q200="","",IF(Q200&gt;=Referencia!$B$8,"C","NC"))</f>
        <v/>
      </c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5">
        <f>IF(F200="","",(N200="NC")+(R200="NC")+(S200="Não")+(S200="Parcial")+(T200="Sim")+(U200="Sim")+(V200="Sim")+(W200="Sim")+(X200="Sim"))</f>
        <v/>
      </c>
      <c r="AB200" s="5">
        <f>IF(AA200="","",IF(AA200&gt;0,"Sim","Não"))</f>
        <v/>
      </c>
      <c r="AC200" s="3" t="n"/>
      <c r="AD200" s="3" t="n"/>
    </row>
    <row r="201">
      <c r="A201" s="3" t="n"/>
      <c r="B201" s="3" t="n"/>
      <c r="C201" s="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5">
        <f>IF(H201&lt;&gt;"",H201,IF(AND(I201&lt;&gt;"",J201&lt;&gt;""),ROUND(I201*TAN(RADIANS(J201))+IF(K201="",1.6,K201),2),""))</f>
        <v/>
      </c>
      <c r="M201" s="5">
        <f>IF(D201="","",IFERROR(IF(VLOOKUP(D201,Referencia!$A$2:$B$5,2,FALSE)="","",VLOOKUP(D201,Referencia!$A$2:$B$5,2,FALSE)),""))</f>
        <v/>
      </c>
      <c r="N201" s="5">
        <f>IF(OR(L201="",M201=""),"",IF(L201&gt;=M201,"C","NC"))</f>
        <v/>
      </c>
      <c r="O201" s="3" t="n"/>
      <c r="P201" s="3" t="n"/>
      <c r="Q201" s="5">
        <f>IF(OR(O201="",P201=""),"",ROUND(O201-P201,2))</f>
        <v/>
      </c>
      <c r="R201" s="5">
        <f>IF(Q201="","",IF(Q201&gt;=Referencia!$B$8,"C","NC"))</f>
        <v/>
      </c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5">
        <f>IF(F201="","",(N201="NC")+(R201="NC")+(S201="Não")+(S201="Parcial")+(T201="Sim")+(U201="Sim")+(V201="Sim")+(W201="Sim")+(X201="Sim"))</f>
        <v/>
      </c>
      <c r="AB201" s="5">
        <f>IF(AA201="","",IF(AA201&gt;0,"Sim","Não"))</f>
        <v/>
      </c>
      <c r="AC201" s="3" t="n"/>
      <c r="AD201" s="3" t="n"/>
    </row>
    <row r="202">
      <c r="A202" s="3" t="n"/>
      <c r="B202" s="3" t="n"/>
      <c r="C202" s="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5">
        <f>IF(H202&lt;&gt;"",H202,IF(AND(I202&lt;&gt;"",J202&lt;&gt;""),ROUND(I202*TAN(RADIANS(J202))+IF(K202="",1.6,K202),2),""))</f>
        <v/>
      </c>
      <c r="M202" s="5">
        <f>IF(D202="","",IFERROR(IF(VLOOKUP(D202,Referencia!$A$2:$B$5,2,FALSE)="","",VLOOKUP(D202,Referencia!$A$2:$B$5,2,FALSE)),""))</f>
        <v/>
      </c>
      <c r="N202" s="5">
        <f>IF(OR(L202="",M202=""),"",IF(L202&gt;=M202,"C","NC"))</f>
        <v/>
      </c>
      <c r="O202" s="3" t="n"/>
      <c r="P202" s="3" t="n"/>
      <c r="Q202" s="5">
        <f>IF(OR(O202="",P202=""),"",ROUND(O202-P202,2))</f>
        <v/>
      </c>
      <c r="R202" s="5">
        <f>IF(Q202="","",IF(Q202&gt;=Referencia!$B$8,"C","NC"))</f>
        <v/>
      </c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5">
        <f>IF(F202="","",(N202="NC")+(R202="NC")+(S202="Não")+(S202="Parcial")+(T202="Sim")+(U202="Sim")+(V202="Sim")+(W202="Sim")+(X202="Sim"))</f>
        <v/>
      </c>
      <c r="AB202" s="5">
        <f>IF(AA202="","",IF(AA202&gt;0,"Sim","Não"))</f>
        <v/>
      </c>
      <c r="AC202" s="3" t="n"/>
      <c r="AD202" s="3" t="n"/>
    </row>
    <row r="203">
      <c r="A203" s="3" t="n"/>
      <c r="B203" s="3" t="n"/>
      <c r="C203" s="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5">
        <f>IF(H203&lt;&gt;"",H203,IF(AND(I203&lt;&gt;"",J203&lt;&gt;""),ROUND(I203*TAN(RADIANS(J203))+IF(K203="",1.6,K203),2),""))</f>
        <v/>
      </c>
      <c r="M203" s="5">
        <f>IF(D203="","",IFERROR(IF(VLOOKUP(D203,Referencia!$A$2:$B$5,2,FALSE)="","",VLOOKUP(D203,Referencia!$A$2:$B$5,2,FALSE)),""))</f>
        <v/>
      </c>
      <c r="N203" s="5">
        <f>IF(OR(L203="",M203=""),"",IF(L203&gt;=M203,"C","NC"))</f>
        <v/>
      </c>
      <c r="O203" s="3" t="n"/>
      <c r="P203" s="3" t="n"/>
      <c r="Q203" s="5">
        <f>IF(OR(O203="",P203=""),"",ROUND(O203-P203,2))</f>
        <v/>
      </c>
      <c r="R203" s="5">
        <f>IF(Q203="","",IF(Q203&gt;=Referencia!$B$8,"C","NC"))</f>
        <v/>
      </c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5">
        <f>IF(F203="","",(N203="NC")+(R203="NC")+(S203="Não")+(S203="Parcial")+(T203="Sim")+(U203="Sim")+(V203="Sim")+(W203="Sim")+(X203="Sim"))</f>
        <v/>
      </c>
      <c r="AB203" s="5">
        <f>IF(AA203="","",IF(AA203&gt;0,"Sim","Não"))</f>
        <v/>
      </c>
      <c r="AC203" s="3" t="n"/>
      <c r="AD203" s="3" t="n"/>
    </row>
    <row r="204">
      <c r="A204" s="3" t="n"/>
      <c r="B204" s="3" t="n"/>
      <c r="C204" s="4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5">
        <f>IF(H204&lt;&gt;"",H204,IF(AND(I204&lt;&gt;"",J204&lt;&gt;""),ROUND(I204*TAN(RADIANS(J204))+IF(K204="",1.6,K204),2),""))</f>
        <v/>
      </c>
      <c r="M204" s="5">
        <f>IF(D204="","",IFERROR(IF(VLOOKUP(D204,Referencia!$A$2:$B$5,2,FALSE)="","",VLOOKUP(D204,Referencia!$A$2:$B$5,2,FALSE)),""))</f>
        <v/>
      </c>
      <c r="N204" s="5">
        <f>IF(OR(L204="",M204=""),"",IF(L204&gt;=M204,"C","NC"))</f>
        <v/>
      </c>
      <c r="O204" s="3" t="n"/>
      <c r="P204" s="3" t="n"/>
      <c r="Q204" s="5">
        <f>IF(OR(O204="",P204=""),"",ROUND(O204-P204,2))</f>
        <v/>
      </c>
      <c r="R204" s="5">
        <f>IF(Q204="","",IF(Q204&gt;=Referencia!$B$8,"C","NC"))</f>
        <v/>
      </c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5">
        <f>IF(F204="","",(N204="NC")+(R204="NC")+(S204="Não")+(S204="Parcial")+(T204="Sim")+(U204="Sim")+(V204="Sim")+(W204="Sim")+(X204="Sim"))</f>
        <v/>
      </c>
      <c r="AB204" s="5">
        <f>IF(AA204="","",IF(AA204&gt;0,"Sim","Não"))</f>
        <v/>
      </c>
      <c r="AC204" s="3" t="n"/>
      <c r="AD204" s="3" t="n"/>
    </row>
    <row r="205">
      <c r="A205" s="3" t="n"/>
      <c r="B205" s="3" t="n"/>
      <c r="C205" s="4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5">
        <f>IF(H205&lt;&gt;"",H205,IF(AND(I205&lt;&gt;"",J205&lt;&gt;""),ROUND(I205*TAN(RADIANS(J205))+IF(K205="",1.6,K205),2),""))</f>
        <v/>
      </c>
      <c r="M205" s="5">
        <f>IF(D205="","",IFERROR(IF(VLOOKUP(D205,Referencia!$A$2:$B$5,2,FALSE)="","",VLOOKUP(D205,Referencia!$A$2:$B$5,2,FALSE)),""))</f>
        <v/>
      </c>
      <c r="N205" s="5">
        <f>IF(OR(L205="",M205=""),"",IF(L205&gt;=M205,"C","NC"))</f>
        <v/>
      </c>
      <c r="O205" s="3" t="n"/>
      <c r="P205" s="3" t="n"/>
      <c r="Q205" s="5">
        <f>IF(OR(O205="",P205=""),"",ROUND(O205-P205,2))</f>
        <v/>
      </c>
      <c r="R205" s="5">
        <f>IF(Q205="","",IF(Q205&gt;=Referencia!$B$8,"C","NC"))</f>
        <v/>
      </c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5">
        <f>IF(F205="","",(N205="NC")+(R205="NC")+(S205="Não")+(S205="Parcial")+(T205="Sim")+(U205="Sim")+(V205="Sim")+(W205="Sim")+(X205="Sim"))</f>
        <v/>
      </c>
      <c r="AB205" s="5">
        <f>IF(AA205="","",IF(AA205&gt;0,"Sim","Não"))</f>
        <v/>
      </c>
      <c r="AC205" s="3" t="n"/>
      <c r="AD205" s="3" t="n"/>
    </row>
    <row r="206">
      <c r="A206" s="3" t="n"/>
      <c r="B206" s="3" t="n"/>
      <c r="C206" s="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5">
        <f>IF(H206&lt;&gt;"",H206,IF(AND(I206&lt;&gt;"",J206&lt;&gt;""),ROUND(I206*TAN(RADIANS(J206))+IF(K206="",1.6,K206),2),""))</f>
        <v/>
      </c>
      <c r="M206" s="5">
        <f>IF(D206="","",IFERROR(IF(VLOOKUP(D206,Referencia!$A$2:$B$5,2,FALSE)="","",VLOOKUP(D206,Referencia!$A$2:$B$5,2,FALSE)),""))</f>
        <v/>
      </c>
      <c r="N206" s="5">
        <f>IF(OR(L206="",M206=""),"",IF(L206&gt;=M206,"C","NC"))</f>
        <v/>
      </c>
      <c r="O206" s="3" t="n"/>
      <c r="P206" s="3" t="n"/>
      <c r="Q206" s="5">
        <f>IF(OR(O206="",P206=""),"",ROUND(O206-P206,2))</f>
        <v/>
      </c>
      <c r="R206" s="5">
        <f>IF(Q206="","",IF(Q206&gt;=Referencia!$B$8,"C","NC"))</f>
        <v/>
      </c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5">
        <f>IF(F206="","",(N206="NC")+(R206="NC")+(S206="Não")+(S206="Parcial")+(T206="Sim")+(U206="Sim")+(V206="Sim")+(W206="Sim")+(X206="Sim"))</f>
        <v/>
      </c>
      <c r="AB206" s="5">
        <f>IF(AA206="","",IF(AA206&gt;0,"Sim","Não"))</f>
        <v/>
      </c>
      <c r="AC206" s="3" t="n"/>
      <c r="AD206" s="3" t="n"/>
    </row>
    <row r="207">
      <c r="A207" s="3" t="n"/>
      <c r="B207" s="3" t="n"/>
      <c r="C207" s="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5">
        <f>IF(H207&lt;&gt;"",H207,IF(AND(I207&lt;&gt;"",J207&lt;&gt;""),ROUND(I207*TAN(RADIANS(J207))+IF(K207="",1.6,K207),2),""))</f>
        <v/>
      </c>
      <c r="M207" s="5">
        <f>IF(D207="","",IFERROR(IF(VLOOKUP(D207,Referencia!$A$2:$B$5,2,FALSE)="","",VLOOKUP(D207,Referencia!$A$2:$B$5,2,FALSE)),""))</f>
        <v/>
      </c>
      <c r="N207" s="5">
        <f>IF(OR(L207="",M207=""),"",IF(L207&gt;=M207,"C","NC"))</f>
        <v/>
      </c>
      <c r="O207" s="3" t="n"/>
      <c r="P207" s="3" t="n"/>
      <c r="Q207" s="5">
        <f>IF(OR(O207="",P207=""),"",ROUND(O207-P207,2))</f>
        <v/>
      </c>
      <c r="R207" s="5">
        <f>IF(Q207="","",IF(Q207&gt;=Referencia!$B$8,"C","NC"))</f>
        <v/>
      </c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5">
        <f>IF(F207="","",(N207="NC")+(R207="NC")+(S207="Não")+(S207="Parcial")+(T207="Sim")+(U207="Sim")+(V207="Sim")+(W207="Sim")+(X207="Sim"))</f>
        <v/>
      </c>
      <c r="AB207" s="5">
        <f>IF(AA207="","",IF(AA207&gt;0,"Sim","Não"))</f>
        <v/>
      </c>
      <c r="AC207" s="3" t="n"/>
      <c r="AD207" s="3" t="n"/>
    </row>
    <row r="208">
      <c r="A208" s="3" t="n"/>
      <c r="B208" s="3" t="n"/>
      <c r="C208" s="4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5">
        <f>IF(H208&lt;&gt;"",H208,IF(AND(I208&lt;&gt;"",J208&lt;&gt;""),ROUND(I208*TAN(RADIANS(J208))+IF(K208="",1.6,K208),2),""))</f>
        <v/>
      </c>
      <c r="M208" s="5">
        <f>IF(D208="","",IFERROR(IF(VLOOKUP(D208,Referencia!$A$2:$B$5,2,FALSE)="","",VLOOKUP(D208,Referencia!$A$2:$B$5,2,FALSE)),""))</f>
        <v/>
      </c>
      <c r="N208" s="5">
        <f>IF(OR(L208="",M208=""),"",IF(L208&gt;=M208,"C","NC"))</f>
        <v/>
      </c>
      <c r="O208" s="3" t="n"/>
      <c r="P208" s="3" t="n"/>
      <c r="Q208" s="5">
        <f>IF(OR(O208="",P208=""),"",ROUND(O208-P208,2))</f>
        <v/>
      </c>
      <c r="R208" s="5">
        <f>IF(Q208="","",IF(Q208&gt;=Referencia!$B$8,"C","NC"))</f>
        <v/>
      </c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5">
        <f>IF(F208="","",(N208="NC")+(R208="NC")+(S208="Não")+(S208="Parcial")+(T208="Sim")+(U208="Sim")+(V208="Sim")+(W208="Sim")+(X208="Sim"))</f>
        <v/>
      </c>
      <c r="AB208" s="5">
        <f>IF(AA208="","",IF(AA208&gt;0,"Sim","Não"))</f>
        <v/>
      </c>
      <c r="AC208" s="3" t="n"/>
      <c r="AD208" s="3" t="n"/>
    </row>
    <row r="209">
      <c r="A209" s="3" t="n"/>
      <c r="B209" s="3" t="n"/>
      <c r="C209" s="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5">
        <f>IF(H209&lt;&gt;"",H209,IF(AND(I209&lt;&gt;"",J209&lt;&gt;""),ROUND(I209*TAN(RADIANS(J209))+IF(K209="",1.6,K209),2),""))</f>
        <v/>
      </c>
      <c r="M209" s="5">
        <f>IF(D209="","",IFERROR(IF(VLOOKUP(D209,Referencia!$A$2:$B$5,2,FALSE)="","",VLOOKUP(D209,Referencia!$A$2:$B$5,2,FALSE)),""))</f>
        <v/>
      </c>
      <c r="N209" s="5">
        <f>IF(OR(L209="",M209=""),"",IF(L209&gt;=M209,"C","NC"))</f>
        <v/>
      </c>
      <c r="O209" s="3" t="n"/>
      <c r="P209" s="3" t="n"/>
      <c r="Q209" s="5">
        <f>IF(OR(O209="",P209=""),"",ROUND(O209-P209,2))</f>
        <v/>
      </c>
      <c r="R209" s="5">
        <f>IF(Q209="","",IF(Q209&gt;=Referencia!$B$8,"C","NC"))</f>
        <v/>
      </c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5">
        <f>IF(F209="","",(N209="NC")+(R209="NC")+(S209="Não")+(S209="Parcial")+(T209="Sim")+(U209="Sim")+(V209="Sim")+(W209="Sim")+(X209="Sim"))</f>
        <v/>
      </c>
      <c r="AB209" s="5">
        <f>IF(AA209="","",IF(AA209&gt;0,"Sim","Não"))</f>
        <v/>
      </c>
      <c r="AC209" s="3" t="n"/>
      <c r="AD209" s="3" t="n"/>
    </row>
    <row r="210">
      <c r="A210" s="3" t="n"/>
      <c r="B210" s="3" t="n"/>
      <c r="C210" s="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5">
        <f>IF(H210&lt;&gt;"",H210,IF(AND(I210&lt;&gt;"",J210&lt;&gt;""),ROUND(I210*TAN(RADIANS(J210))+IF(K210="",1.6,K210),2),""))</f>
        <v/>
      </c>
      <c r="M210" s="5">
        <f>IF(D210="","",IFERROR(IF(VLOOKUP(D210,Referencia!$A$2:$B$5,2,FALSE)="","",VLOOKUP(D210,Referencia!$A$2:$B$5,2,FALSE)),""))</f>
        <v/>
      </c>
      <c r="N210" s="5">
        <f>IF(OR(L210="",M210=""),"",IF(L210&gt;=M210,"C","NC"))</f>
        <v/>
      </c>
      <c r="O210" s="3" t="n"/>
      <c r="P210" s="3" t="n"/>
      <c r="Q210" s="5">
        <f>IF(OR(O210="",P210=""),"",ROUND(O210-P210,2))</f>
        <v/>
      </c>
      <c r="R210" s="5">
        <f>IF(Q210="","",IF(Q210&gt;=Referencia!$B$8,"C","NC"))</f>
        <v/>
      </c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5">
        <f>IF(F210="","",(N210="NC")+(R210="NC")+(S210="Não")+(S210="Parcial")+(T210="Sim")+(U210="Sim")+(V210="Sim")+(W210="Sim")+(X210="Sim"))</f>
        <v/>
      </c>
      <c r="AB210" s="5">
        <f>IF(AA210="","",IF(AA210&gt;0,"Sim","Não"))</f>
        <v/>
      </c>
      <c r="AC210" s="3" t="n"/>
      <c r="AD210" s="3" t="n"/>
    </row>
    <row r="211">
      <c r="A211" s="3" t="n"/>
      <c r="B211" s="3" t="n"/>
      <c r="C211" s="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5">
        <f>IF(H211&lt;&gt;"",H211,IF(AND(I211&lt;&gt;"",J211&lt;&gt;""),ROUND(I211*TAN(RADIANS(J211))+IF(K211="",1.6,K211),2),""))</f>
        <v/>
      </c>
      <c r="M211" s="5">
        <f>IF(D211="","",IFERROR(IF(VLOOKUP(D211,Referencia!$A$2:$B$5,2,FALSE)="","",VLOOKUP(D211,Referencia!$A$2:$B$5,2,FALSE)),""))</f>
        <v/>
      </c>
      <c r="N211" s="5">
        <f>IF(OR(L211="",M211=""),"",IF(L211&gt;=M211,"C","NC"))</f>
        <v/>
      </c>
      <c r="O211" s="3" t="n"/>
      <c r="P211" s="3" t="n"/>
      <c r="Q211" s="5">
        <f>IF(OR(O211="",P211=""),"",ROUND(O211-P211,2))</f>
        <v/>
      </c>
      <c r="R211" s="5">
        <f>IF(Q211="","",IF(Q211&gt;=Referencia!$B$8,"C","NC"))</f>
        <v/>
      </c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5">
        <f>IF(F211="","",(N211="NC")+(R211="NC")+(S211="Não")+(S211="Parcial")+(T211="Sim")+(U211="Sim")+(V211="Sim")+(W211="Sim")+(X211="Sim"))</f>
        <v/>
      </c>
      <c r="AB211" s="5">
        <f>IF(AA211="","",IF(AA211&gt;0,"Sim","Não"))</f>
        <v/>
      </c>
      <c r="AC211" s="3" t="n"/>
      <c r="AD211" s="3" t="n"/>
    </row>
    <row r="212">
      <c r="A212" s="3" t="n"/>
      <c r="B212" s="3" t="n"/>
      <c r="C212" s="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5">
        <f>IF(H212&lt;&gt;"",H212,IF(AND(I212&lt;&gt;"",J212&lt;&gt;""),ROUND(I212*TAN(RADIANS(J212))+IF(K212="",1.6,K212),2),""))</f>
        <v/>
      </c>
      <c r="M212" s="5">
        <f>IF(D212="","",IFERROR(IF(VLOOKUP(D212,Referencia!$A$2:$B$5,2,FALSE)="","",VLOOKUP(D212,Referencia!$A$2:$B$5,2,FALSE)),""))</f>
        <v/>
      </c>
      <c r="N212" s="5">
        <f>IF(OR(L212="",M212=""),"",IF(L212&gt;=M212,"C","NC"))</f>
        <v/>
      </c>
      <c r="O212" s="3" t="n"/>
      <c r="P212" s="3" t="n"/>
      <c r="Q212" s="5">
        <f>IF(OR(O212="",P212=""),"",ROUND(O212-P212,2))</f>
        <v/>
      </c>
      <c r="R212" s="5">
        <f>IF(Q212="","",IF(Q212&gt;=Referencia!$B$8,"C","NC"))</f>
        <v/>
      </c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5">
        <f>IF(F212="","",(N212="NC")+(R212="NC")+(S212="Não")+(S212="Parcial")+(T212="Sim")+(U212="Sim")+(V212="Sim")+(W212="Sim")+(X212="Sim"))</f>
        <v/>
      </c>
      <c r="AB212" s="5">
        <f>IF(AA212="","",IF(AA212&gt;0,"Sim","Não"))</f>
        <v/>
      </c>
      <c r="AC212" s="3" t="n"/>
      <c r="AD212" s="3" t="n"/>
    </row>
    <row r="213">
      <c r="A213" s="3" t="n"/>
      <c r="B213" s="3" t="n"/>
      <c r="C213" s="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5">
        <f>IF(H213&lt;&gt;"",H213,IF(AND(I213&lt;&gt;"",J213&lt;&gt;""),ROUND(I213*TAN(RADIANS(J213))+IF(K213="",1.6,K213),2),""))</f>
        <v/>
      </c>
      <c r="M213" s="5">
        <f>IF(D213="","",IFERROR(IF(VLOOKUP(D213,Referencia!$A$2:$B$5,2,FALSE)="","",VLOOKUP(D213,Referencia!$A$2:$B$5,2,FALSE)),""))</f>
        <v/>
      </c>
      <c r="N213" s="5">
        <f>IF(OR(L213="",M213=""),"",IF(L213&gt;=M213,"C","NC"))</f>
        <v/>
      </c>
      <c r="O213" s="3" t="n"/>
      <c r="P213" s="3" t="n"/>
      <c r="Q213" s="5">
        <f>IF(OR(O213="",P213=""),"",ROUND(O213-P213,2))</f>
        <v/>
      </c>
      <c r="R213" s="5">
        <f>IF(Q213="","",IF(Q213&gt;=Referencia!$B$8,"C","NC"))</f>
        <v/>
      </c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5">
        <f>IF(F213="","",(N213="NC")+(R213="NC")+(S213="Não")+(S213="Parcial")+(T213="Sim")+(U213="Sim")+(V213="Sim")+(W213="Sim")+(X213="Sim"))</f>
        <v/>
      </c>
      <c r="AB213" s="5">
        <f>IF(AA213="","",IF(AA213&gt;0,"Sim","Não"))</f>
        <v/>
      </c>
      <c r="AC213" s="3" t="n"/>
      <c r="AD213" s="3" t="n"/>
    </row>
    <row r="214">
      <c r="A214" s="3" t="n"/>
      <c r="B214" s="3" t="n"/>
      <c r="C214" s="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5">
        <f>IF(H214&lt;&gt;"",H214,IF(AND(I214&lt;&gt;"",J214&lt;&gt;""),ROUND(I214*TAN(RADIANS(J214))+IF(K214="",1.6,K214),2),""))</f>
        <v/>
      </c>
      <c r="M214" s="5">
        <f>IF(D214="","",IFERROR(IF(VLOOKUP(D214,Referencia!$A$2:$B$5,2,FALSE)="","",VLOOKUP(D214,Referencia!$A$2:$B$5,2,FALSE)),""))</f>
        <v/>
      </c>
      <c r="N214" s="5">
        <f>IF(OR(L214="",M214=""),"",IF(L214&gt;=M214,"C","NC"))</f>
        <v/>
      </c>
      <c r="O214" s="3" t="n"/>
      <c r="P214" s="3" t="n"/>
      <c r="Q214" s="5">
        <f>IF(OR(O214="",P214=""),"",ROUND(O214-P214,2))</f>
        <v/>
      </c>
      <c r="R214" s="5">
        <f>IF(Q214="","",IF(Q214&gt;=Referencia!$B$8,"C","NC"))</f>
        <v/>
      </c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5">
        <f>IF(F214="","",(N214="NC")+(R214="NC")+(S214="Não")+(S214="Parcial")+(T214="Sim")+(U214="Sim")+(V214="Sim")+(W214="Sim")+(X214="Sim"))</f>
        <v/>
      </c>
      <c r="AB214" s="5">
        <f>IF(AA214="","",IF(AA214&gt;0,"Sim","Não"))</f>
        <v/>
      </c>
      <c r="AC214" s="3" t="n"/>
      <c r="AD214" s="3" t="n"/>
    </row>
    <row r="215">
      <c r="A215" s="3" t="n"/>
      <c r="B215" s="3" t="n"/>
      <c r="C215" s="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5">
        <f>IF(H215&lt;&gt;"",H215,IF(AND(I215&lt;&gt;"",J215&lt;&gt;""),ROUND(I215*TAN(RADIANS(J215))+IF(K215="",1.6,K215),2),""))</f>
        <v/>
      </c>
      <c r="M215" s="5">
        <f>IF(D215="","",IFERROR(IF(VLOOKUP(D215,Referencia!$A$2:$B$5,2,FALSE)="","",VLOOKUP(D215,Referencia!$A$2:$B$5,2,FALSE)),""))</f>
        <v/>
      </c>
      <c r="N215" s="5">
        <f>IF(OR(L215="",M215=""),"",IF(L215&gt;=M215,"C","NC"))</f>
        <v/>
      </c>
      <c r="O215" s="3" t="n"/>
      <c r="P215" s="3" t="n"/>
      <c r="Q215" s="5">
        <f>IF(OR(O215="",P215=""),"",ROUND(O215-P215,2))</f>
        <v/>
      </c>
      <c r="R215" s="5">
        <f>IF(Q215="","",IF(Q215&gt;=Referencia!$B$8,"C","NC"))</f>
        <v/>
      </c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5">
        <f>IF(F215="","",(N215="NC")+(R215="NC")+(S215="Não")+(S215="Parcial")+(T215="Sim")+(U215="Sim")+(V215="Sim")+(W215="Sim")+(X215="Sim"))</f>
        <v/>
      </c>
      <c r="AB215" s="5">
        <f>IF(AA215="","",IF(AA215&gt;0,"Sim","Não"))</f>
        <v/>
      </c>
      <c r="AC215" s="3" t="n"/>
      <c r="AD215" s="3" t="n"/>
    </row>
    <row r="216">
      <c r="A216" s="3" t="n"/>
      <c r="B216" s="3" t="n"/>
      <c r="C216" s="4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5">
        <f>IF(H216&lt;&gt;"",H216,IF(AND(I216&lt;&gt;"",J216&lt;&gt;""),ROUND(I216*TAN(RADIANS(J216))+IF(K216="",1.6,K216),2),""))</f>
        <v/>
      </c>
      <c r="M216" s="5">
        <f>IF(D216="","",IFERROR(IF(VLOOKUP(D216,Referencia!$A$2:$B$5,2,FALSE)="","",VLOOKUP(D216,Referencia!$A$2:$B$5,2,FALSE)),""))</f>
        <v/>
      </c>
      <c r="N216" s="5">
        <f>IF(OR(L216="",M216=""),"",IF(L216&gt;=M216,"C","NC"))</f>
        <v/>
      </c>
      <c r="O216" s="3" t="n"/>
      <c r="P216" s="3" t="n"/>
      <c r="Q216" s="5">
        <f>IF(OR(O216="",P216=""),"",ROUND(O216-P216,2))</f>
        <v/>
      </c>
      <c r="R216" s="5">
        <f>IF(Q216="","",IF(Q216&gt;=Referencia!$B$8,"C","NC"))</f>
        <v/>
      </c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5">
        <f>IF(F216="","",(N216="NC")+(R216="NC")+(S216="Não")+(S216="Parcial")+(T216="Sim")+(U216="Sim")+(V216="Sim")+(W216="Sim")+(X216="Sim"))</f>
        <v/>
      </c>
      <c r="AB216" s="5">
        <f>IF(AA216="","",IF(AA216&gt;0,"Sim","Não"))</f>
        <v/>
      </c>
      <c r="AC216" s="3" t="n"/>
      <c r="AD216" s="3" t="n"/>
    </row>
    <row r="217">
      <c r="A217" s="3" t="n"/>
      <c r="B217" s="3" t="n"/>
      <c r="C217" s="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5">
        <f>IF(H217&lt;&gt;"",H217,IF(AND(I217&lt;&gt;"",J217&lt;&gt;""),ROUND(I217*TAN(RADIANS(J217))+IF(K217="",1.6,K217),2),""))</f>
        <v/>
      </c>
      <c r="M217" s="5">
        <f>IF(D217="","",IFERROR(IF(VLOOKUP(D217,Referencia!$A$2:$B$5,2,FALSE)="","",VLOOKUP(D217,Referencia!$A$2:$B$5,2,FALSE)),""))</f>
        <v/>
      </c>
      <c r="N217" s="5">
        <f>IF(OR(L217="",M217=""),"",IF(L217&gt;=M217,"C","NC"))</f>
        <v/>
      </c>
      <c r="O217" s="3" t="n"/>
      <c r="P217" s="3" t="n"/>
      <c r="Q217" s="5">
        <f>IF(OR(O217="",P217=""),"",ROUND(O217-P217,2))</f>
        <v/>
      </c>
      <c r="R217" s="5">
        <f>IF(Q217="","",IF(Q217&gt;=Referencia!$B$8,"C","NC"))</f>
        <v/>
      </c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5">
        <f>IF(F217="","",(N217="NC")+(R217="NC")+(S217="Não")+(S217="Parcial")+(T217="Sim")+(U217="Sim")+(V217="Sim")+(W217="Sim")+(X217="Sim"))</f>
        <v/>
      </c>
      <c r="AB217" s="5">
        <f>IF(AA217="","",IF(AA217&gt;0,"Sim","Não"))</f>
        <v/>
      </c>
      <c r="AC217" s="3" t="n"/>
      <c r="AD217" s="3" t="n"/>
    </row>
    <row r="218">
      <c r="A218" s="3" t="n"/>
      <c r="B218" s="3" t="n"/>
      <c r="C218" s="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5">
        <f>IF(H218&lt;&gt;"",H218,IF(AND(I218&lt;&gt;"",J218&lt;&gt;""),ROUND(I218*TAN(RADIANS(J218))+IF(K218="",1.6,K218),2),""))</f>
        <v/>
      </c>
      <c r="M218" s="5">
        <f>IF(D218="","",IFERROR(IF(VLOOKUP(D218,Referencia!$A$2:$B$5,2,FALSE)="","",VLOOKUP(D218,Referencia!$A$2:$B$5,2,FALSE)),""))</f>
        <v/>
      </c>
      <c r="N218" s="5">
        <f>IF(OR(L218="",M218=""),"",IF(L218&gt;=M218,"C","NC"))</f>
        <v/>
      </c>
      <c r="O218" s="3" t="n"/>
      <c r="P218" s="3" t="n"/>
      <c r="Q218" s="5">
        <f>IF(OR(O218="",P218=""),"",ROUND(O218-P218,2))</f>
        <v/>
      </c>
      <c r="R218" s="5">
        <f>IF(Q218="","",IF(Q218&gt;=Referencia!$B$8,"C","NC"))</f>
        <v/>
      </c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5">
        <f>IF(F218="","",(N218="NC")+(R218="NC")+(S218="Não")+(S218="Parcial")+(T218="Sim")+(U218="Sim")+(V218="Sim")+(W218="Sim")+(X218="Sim"))</f>
        <v/>
      </c>
      <c r="AB218" s="5">
        <f>IF(AA218="","",IF(AA218&gt;0,"Sim","Não"))</f>
        <v/>
      </c>
      <c r="AC218" s="3" t="n"/>
      <c r="AD218" s="3" t="n"/>
    </row>
    <row r="219">
      <c r="A219" s="3" t="n"/>
      <c r="B219" s="3" t="n"/>
      <c r="C219" s="4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5">
        <f>IF(H219&lt;&gt;"",H219,IF(AND(I219&lt;&gt;"",J219&lt;&gt;""),ROUND(I219*TAN(RADIANS(J219))+IF(K219="",1.6,K219),2),""))</f>
        <v/>
      </c>
      <c r="M219" s="5">
        <f>IF(D219="","",IFERROR(IF(VLOOKUP(D219,Referencia!$A$2:$B$5,2,FALSE)="","",VLOOKUP(D219,Referencia!$A$2:$B$5,2,FALSE)),""))</f>
        <v/>
      </c>
      <c r="N219" s="5">
        <f>IF(OR(L219="",M219=""),"",IF(L219&gt;=M219,"C","NC"))</f>
        <v/>
      </c>
      <c r="O219" s="3" t="n"/>
      <c r="P219" s="3" t="n"/>
      <c r="Q219" s="5">
        <f>IF(OR(O219="",P219=""),"",ROUND(O219-P219,2))</f>
        <v/>
      </c>
      <c r="R219" s="5">
        <f>IF(Q219="","",IF(Q219&gt;=Referencia!$B$8,"C","NC"))</f>
        <v/>
      </c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5">
        <f>IF(F219="","",(N219="NC")+(R219="NC")+(S219="Não")+(S219="Parcial")+(T219="Sim")+(U219="Sim")+(V219="Sim")+(W219="Sim")+(X219="Sim"))</f>
        <v/>
      </c>
      <c r="AB219" s="5">
        <f>IF(AA219="","",IF(AA219&gt;0,"Sim","Não"))</f>
        <v/>
      </c>
      <c r="AC219" s="3" t="n"/>
      <c r="AD219" s="3" t="n"/>
    </row>
    <row r="220">
      <c r="A220" s="3" t="n"/>
      <c r="B220" s="3" t="n"/>
      <c r="C220" s="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5">
        <f>IF(H220&lt;&gt;"",H220,IF(AND(I220&lt;&gt;"",J220&lt;&gt;""),ROUND(I220*TAN(RADIANS(J220))+IF(K220="",1.6,K220),2),""))</f>
        <v/>
      </c>
      <c r="M220" s="5">
        <f>IF(D220="","",IFERROR(IF(VLOOKUP(D220,Referencia!$A$2:$B$5,2,FALSE)="","",VLOOKUP(D220,Referencia!$A$2:$B$5,2,FALSE)),""))</f>
        <v/>
      </c>
      <c r="N220" s="5">
        <f>IF(OR(L220="",M220=""),"",IF(L220&gt;=M220,"C","NC"))</f>
        <v/>
      </c>
      <c r="O220" s="3" t="n"/>
      <c r="P220" s="3" t="n"/>
      <c r="Q220" s="5">
        <f>IF(OR(O220="",P220=""),"",ROUND(O220-P220,2))</f>
        <v/>
      </c>
      <c r="R220" s="5">
        <f>IF(Q220="","",IF(Q220&gt;=Referencia!$B$8,"C","NC"))</f>
        <v/>
      </c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5">
        <f>IF(F220="","",(N220="NC")+(R220="NC")+(S220="Não")+(S220="Parcial")+(T220="Sim")+(U220="Sim")+(V220="Sim")+(W220="Sim")+(X220="Sim"))</f>
        <v/>
      </c>
      <c r="AB220" s="5">
        <f>IF(AA220="","",IF(AA220&gt;0,"Sim","Não"))</f>
        <v/>
      </c>
      <c r="AC220" s="3" t="n"/>
      <c r="AD220" s="3" t="n"/>
    </row>
    <row r="221">
      <c r="A221" s="3" t="n"/>
      <c r="B221" s="3" t="n"/>
      <c r="C221" s="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5">
        <f>IF(H221&lt;&gt;"",H221,IF(AND(I221&lt;&gt;"",J221&lt;&gt;""),ROUND(I221*TAN(RADIANS(J221))+IF(K221="",1.6,K221),2),""))</f>
        <v/>
      </c>
      <c r="M221" s="5">
        <f>IF(D221="","",IFERROR(IF(VLOOKUP(D221,Referencia!$A$2:$B$5,2,FALSE)="","",VLOOKUP(D221,Referencia!$A$2:$B$5,2,FALSE)),""))</f>
        <v/>
      </c>
      <c r="N221" s="5">
        <f>IF(OR(L221="",M221=""),"",IF(L221&gt;=M221,"C","NC"))</f>
        <v/>
      </c>
      <c r="O221" s="3" t="n"/>
      <c r="P221" s="3" t="n"/>
      <c r="Q221" s="5">
        <f>IF(OR(O221="",P221=""),"",ROUND(O221-P221,2))</f>
        <v/>
      </c>
      <c r="R221" s="5">
        <f>IF(Q221="","",IF(Q221&gt;=Referencia!$B$8,"C","NC"))</f>
        <v/>
      </c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5">
        <f>IF(F221="","",(N221="NC")+(R221="NC")+(S221="Não")+(S221="Parcial")+(T221="Sim")+(U221="Sim")+(V221="Sim")+(W221="Sim")+(X221="Sim"))</f>
        <v/>
      </c>
      <c r="AB221" s="5">
        <f>IF(AA221="","",IF(AA221&gt;0,"Sim","Não"))</f>
        <v/>
      </c>
      <c r="AC221" s="3" t="n"/>
      <c r="AD221" s="3" t="n"/>
    </row>
    <row r="222">
      <c r="A222" s="3" t="n"/>
      <c r="B222" s="3" t="n"/>
      <c r="C222" s="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5">
        <f>IF(H222&lt;&gt;"",H222,IF(AND(I222&lt;&gt;"",J222&lt;&gt;""),ROUND(I222*TAN(RADIANS(J222))+IF(K222="",1.6,K222),2),""))</f>
        <v/>
      </c>
      <c r="M222" s="5">
        <f>IF(D222="","",IFERROR(IF(VLOOKUP(D222,Referencia!$A$2:$B$5,2,FALSE)="","",VLOOKUP(D222,Referencia!$A$2:$B$5,2,FALSE)),""))</f>
        <v/>
      </c>
      <c r="N222" s="5">
        <f>IF(OR(L222="",M222=""),"",IF(L222&gt;=M222,"C","NC"))</f>
        <v/>
      </c>
      <c r="O222" s="3" t="n"/>
      <c r="P222" s="3" t="n"/>
      <c r="Q222" s="5">
        <f>IF(OR(O222="",P222=""),"",ROUND(O222-P222,2))</f>
        <v/>
      </c>
      <c r="R222" s="5">
        <f>IF(Q222="","",IF(Q222&gt;=Referencia!$B$8,"C","NC"))</f>
        <v/>
      </c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5">
        <f>IF(F222="","",(N222="NC")+(R222="NC")+(S222="Não")+(S222="Parcial")+(T222="Sim")+(U222="Sim")+(V222="Sim")+(W222="Sim")+(X222="Sim"))</f>
        <v/>
      </c>
      <c r="AB222" s="5">
        <f>IF(AA222="","",IF(AA222&gt;0,"Sim","Não"))</f>
        <v/>
      </c>
      <c r="AC222" s="3" t="n"/>
      <c r="AD222" s="3" t="n"/>
    </row>
    <row r="223">
      <c r="A223" s="3" t="n"/>
      <c r="B223" s="3" t="n"/>
      <c r="C223" s="4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5">
        <f>IF(H223&lt;&gt;"",H223,IF(AND(I223&lt;&gt;"",J223&lt;&gt;""),ROUND(I223*TAN(RADIANS(J223))+IF(K223="",1.6,K223),2),""))</f>
        <v/>
      </c>
      <c r="M223" s="5">
        <f>IF(D223="","",IFERROR(IF(VLOOKUP(D223,Referencia!$A$2:$B$5,2,FALSE)="","",VLOOKUP(D223,Referencia!$A$2:$B$5,2,FALSE)),""))</f>
        <v/>
      </c>
      <c r="N223" s="5">
        <f>IF(OR(L223="",M223=""),"",IF(L223&gt;=M223,"C","NC"))</f>
        <v/>
      </c>
      <c r="O223" s="3" t="n"/>
      <c r="P223" s="3" t="n"/>
      <c r="Q223" s="5">
        <f>IF(OR(O223="",P223=""),"",ROUND(O223-P223,2))</f>
        <v/>
      </c>
      <c r="R223" s="5">
        <f>IF(Q223="","",IF(Q223&gt;=Referencia!$B$8,"C","NC"))</f>
        <v/>
      </c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5">
        <f>IF(F223="","",(N223="NC")+(R223="NC")+(S223="Não")+(S223="Parcial")+(T223="Sim")+(U223="Sim")+(V223="Sim")+(W223="Sim")+(X223="Sim"))</f>
        <v/>
      </c>
      <c r="AB223" s="5">
        <f>IF(AA223="","",IF(AA223&gt;0,"Sim","Não"))</f>
        <v/>
      </c>
      <c r="AC223" s="3" t="n"/>
      <c r="AD223" s="3" t="n"/>
    </row>
    <row r="224">
      <c r="A224" s="3" t="n"/>
      <c r="B224" s="3" t="n"/>
      <c r="C224" s="4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5">
        <f>IF(H224&lt;&gt;"",H224,IF(AND(I224&lt;&gt;"",J224&lt;&gt;""),ROUND(I224*TAN(RADIANS(J224))+IF(K224="",1.6,K224),2),""))</f>
        <v/>
      </c>
      <c r="M224" s="5">
        <f>IF(D224="","",IFERROR(IF(VLOOKUP(D224,Referencia!$A$2:$B$5,2,FALSE)="","",VLOOKUP(D224,Referencia!$A$2:$B$5,2,FALSE)),""))</f>
        <v/>
      </c>
      <c r="N224" s="5">
        <f>IF(OR(L224="",M224=""),"",IF(L224&gt;=M224,"C","NC"))</f>
        <v/>
      </c>
      <c r="O224" s="3" t="n"/>
      <c r="P224" s="3" t="n"/>
      <c r="Q224" s="5">
        <f>IF(OR(O224="",P224=""),"",ROUND(O224-P224,2))</f>
        <v/>
      </c>
      <c r="R224" s="5">
        <f>IF(Q224="","",IF(Q224&gt;=Referencia!$B$8,"C","NC"))</f>
        <v/>
      </c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5">
        <f>IF(F224="","",(N224="NC")+(R224="NC")+(S224="Não")+(S224="Parcial")+(T224="Sim")+(U224="Sim")+(V224="Sim")+(W224="Sim")+(X224="Sim"))</f>
        <v/>
      </c>
      <c r="AB224" s="5">
        <f>IF(AA224="","",IF(AA224&gt;0,"Sim","Não"))</f>
        <v/>
      </c>
      <c r="AC224" s="3" t="n"/>
      <c r="AD224" s="3" t="n"/>
    </row>
    <row r="225">
      <c r="A225" s="3" t="n"/>
      <c r="B225" s="3" t="n"/>
      <c r="C225" s="4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5">
        <f>IF(H225&lt;&gt;"",H225,IF(AND(I225&lt;&gt;"",J225&lt;&gt;""),ROUND(I225*TAN(RADIANS(J225))+IF(K225="",1.6,K225),2),""))</f>
        <v/>
      </c>
      <c r="M225" s="5">
        <f>IF(D225="","",IFERROR(IF(VLOOKUP(D225,Referencia!$A$2:$B$5,2,FALSE)="","",VLOOKUP(D225,Referencia!$A$2:$B$5,2,FALSE)),""))</f>
        <v/>
      </c>
      <c r="N225" s="5">
        <f>IF(OR(L225="",M225=""),"",IF(L225&gt;=M225,"C","NC"))</f>
        <v/>
      </c>
      <c r="O225" s="3" t="n"/>
      <c r="P225" s="3" t="n"/>
      <c r="Q225" s="5">
        <f>IF(OR(O225="",P225=""),"",ROUND(O225-P225,2))</f>
        <v/>
      </c>
      <c r="R225" s="5">
        <f>IF(Q225="","",IF(Q225&gt;=Referencia!$B$8,"C","NC"))</f>
        <v/>
      </c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5">
        <f>IF(F225="","",(N225="NC")+(R225="NC")+(S225="Não")+(S225="Parcial")+(T225="Sim")+(U225="Sim")+(V225="Sim")+(W225="Sim")+(X225="Sim"))</f>
        <v/>
      </c>
      <c r="AB225" s="5">
        <f>IF(AA225="","",IF(AA225&gt;0,"Sim","Não"))</f>
        <v/>
      </c>
      <c r="AC225" s="3" t="n"/>
      <c r="AD225" s="3" t="n"/>
    </row>
    <row r="226">
      <c r="A226" s="3" t="n"/>
      <c r="B226" s="3" t="n"/>
      <c r="C226" s="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5">
        <f>IF(H226&lt;&gt;"",H226,IF(AND(I226&lt;&gt;"",J226&lt;&gt;""),ROUND(I226*TAN(RADIANS(J226))+IF(K226="",1.6,K226),2),""))</f>
        <v/>
      </c>
      <c r="M226" s="5">
        <f>IF(D226="","",IFERROR(IF(VLOOKUP(D226,Referencia!$A$2:$B$5,2,FALSE)="","",VLOOKUP(D226,Referencia!$A$2:$B$5,2,FALSE)),""))</f>
        <v/>
      </c>
      <c r="N226" s="5">
        <f>IF(OR(L226="",M226=""),"",IF(L226&gt;=M226,"C","NC"))</f>
        <v/>
      </c>
      <c r="O226" s="3" t="n"/>
      <c r="P226" s="3" t="n"/>
      <c r="Q226" s="5">
        <f>IF(OR(O226="",P226=""),"",ROUND(O226-P226,2))</f>
        <v/>
      </c>
      <c r="R226" s="5">
        <f>IF(Q226="","",IF(Q226&gt;=Referencia!$B$8,"C","NC"))</f>
        <v/>
      </c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5">
        <f>IF(F226="","",(N226="NC")+(R226="NC")+(S226="Não")+(S226="Parcial")+(T226="Sim")+(U226="Sim")+(V226="Sim")+(W226="Sim")+(X226="Sim"))</f>
        <v/>
      </c>
      <c r="AB226" s="5">
        <f>IF(AA226="","",IF(AA226&gt;0,"Sim","Não"))</f>
        <v/>
      </c>
      <c r="AC226" s="3" t="n"/>
      <c r="AD226" s="3" t="n"/>
    </row>
    <row r="227">
      <c r="A227" s="3" t="n"/>
      <c r="B227" s="3" t="n"/>
      <c r="C227" s="4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5">
        <f>IF(H227&lt;&gt;"",H227,IF(AND(I227&lt;&gt;"",J227&lt;&gt;""),ROUND(I227*TAN(RADIANS(J227))+IF(K227="",1.6,K227),2),""))</f>
        <v/>
      </c>
      <c r="M227" s="5">
        <f>IF(D227="","",IFERROR(IF(VLOOKUP(D227,Referencia!$A$2:$B$5,2,FALSE)="","",VLOOKUP(D227,Referencia!$A$2:$B$5,2,FALSE)),""))</f>
        <v/>
      </c>
      <c r="N227" s="5">
        <f>IF(OR(L227="",M227=""),"",IF(L227&gt;=M227,"C","NC"))</f>
        <v/>
      </c>
      <c r="O227" s="3" t="n"/>
      <c r="P227" s="3" t="n"/>
      <c r="Q227" s="5">
        <f>IF(OR(O227="",P227=""),"",ROUND(O227-P227,2))</f>
        <v/>
      </c>
      <c r="R227" s="5">
        <f>IF(Q227="","",IF(Q227&gt;=Referencia!$B$8,"C","NC"))</f>
        <v/>
      </c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5">
        <f>IF(F227="","",(N227="NC")+(R227="NC")+(S227="Não")+(S227="Parcial")+(T227="Sim")+(U227="Sim")+(V227="Sim")+(W227="Sim")+(X227="Sim"))</f>
        <v/>
      </c>
      <c r="AB227" s="5">
        <f>IF(AA227="","",IF(AA227&gt;0,"Sim","Não"))</f>
        <v/>
      </c>
      <c r="AC227" s="3" t="n"/>
      <c r="AD227" s="3" t="n"/>
    </row>
    <row r="228">
      <c r="A228" s="3" t="n"/>
      <c r="B228" s="3" t="n"/>
      <c r="C228" s="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5">
        <f>IF(H228&lt;&gt;"",H228,IF(AND(I228&lt;&gt;"",J228&lt;&gt;""),ROUND(I228*TAN(RADIANS(J228))+IF(K228="",1.6,K228),2),""))</f>
        <v/>
      </c>
      <c r="M228" s="5">
        <f>IF(D228="","",IFERROR(IF(VLOOKUP(D228,Referencia!$A$2:$B$5,2,FALSE)="","",VLOOKUP(D228,Referencia!$A$2:$B$5,2,FALSE)),""))</f>
        <v/>
      </c>
      <c r="N228" s="5">
        <f>IF(OR(L228="",M228=""),"",IF(L228&gt;=M228,"C","NC"))</f>
        <v/>
      </c>
      <c r="O228" s="3" t="n"/>
      <c r="P228" s="3" t="n"/>
      <c r="Q228" s="5">
        <f>IF(OR(O228="",P228=""),"",ROUND(O228-P228,2))</f>
        <v/>
      </c>
      <c r="R228" s="5">
        <f>IF(Q228="","",IF(Q228&gt;=Referencia!$B$8,"C","NC"))</f>
        <v/>
      </c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5">
        <f>IF(F228="","",(N228="NC")+(R228="NC")+(S228="Não")+(S228="Parcial")+(T228="Sim")+(U228="Sim")+(V228="Sim")+(W228="Sim")+(X228="Sim"))</f>
        <v/>
      </c>
      <c r="AB228" s="5">
        <f>IF(AA228="","",IF(AA228&gt;0,"Sim","Não"))</f>
        <v/>
      </c>
      <c r="AC228" s="3" t="n"/>
      <c r="AD228" s="3" t="n"/>
    </row>
    <row r="229">
      <c r="A229" s="3" t="n"/>
      <c r="B229" s="3" t="n"/>
      <c r="C229" s="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5">
        <f>IF(H229&lt;&gt;"",H229,IF(AND(I229&lt;&gt;"",J229&lt;&gt;""),ROUND(I229*TAN(RADIANS(J229))+IF(K229="",1.6,K229),2),""))</f>
        <v/>
      </c>
      <c r="M229" s="5">
        <f>IF(D229="","",IFERROR(IF(VLOOKUP(D229,Referencia!$A$2:$B$5,2,FALSE)="","",VLOOKUP(D229,Referencia!$A$2:$B$5,2,FALSE)),""))</f>
        <v/>
      </c>
      <c r="N229" s="5">
        <f>IF(OR(L229="",M229=""),"",IF(L229&gt;=M229,"C","NC"))</f>
        <v/>
      </c>
      <c r="O229" s="3" t="n"/>
      <c r="P229" s="3" t="n"/>
      <c r="Q229" s="5">
        <f>IF(OR(O229="",P229=""),"",ROUND(O229-P229,2))</f>
        <v/>
      </c>
      <c r="R229" s="5">
        <f>IF(Q229="","",IF(Q229&gt;=Referencia!$B$8,"C","NC"))</f>
        <v/>
      </c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5">
        <f>IF(F229="","",(N229="NC")+(R229="NC")+(S229="Não")+(S229="Parcial")+(T229="Sim")+(U229="Sim")+(V229="Sim")+(W229="Sim")+(X229="Sim"))</f>
        <v/>
      </c>
      <c r="AB229" s="5">
        <f>IF(AA229="","",IF(AA229&gt;0,"Sim","Não"))</f>
        <v/>
      </c>
      <c r="AC229" s="3" t="n"/>
      <c r="AD229" s="3" t="n"/>
    </row>
    <row r="230">
      <c r="A230" s="3" t="n"/>
      <c r="B230" s="3" t="n"/>
      <c r="C230" s="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5">
        <f>IF(H230&lt;&gt;"",H230,IF(AND(I230&lt;&gt;"",J230&lt;&gt;""),ROUND(I230*TAN(RADIANS(J230))+IF(K230="",1.6,K230),2),""))</f>
        <v/>
      </c>
      <c r="M230" s="5">
        <f>IF(D230="","",IFERROR(IF(VLOOKUP(D230,Referencia!$A$2:$B$5,2,FALSE)="","",VLOOKUP(D230,Referencia!$A$2:$B$5,2,FALSE)),""))</f>
        <v/>
      </c>
      <c r="N230" s="5">
        <f>IF(OR(L230="",M230=""),"",IF(L230&gt;=M230,"C","NC"))</f>
        <v/>
      </c>
      <c r="O230" s="3" t="n"/>
      <c r="P230" s="3" t="n"/>
      <c r="Q230" s="5">
        <f>IF(OR(O230="",P230=""),"",ROUND(O230-P230,2))</f>
        <v/>
      </c>
      <c r="R230" s="5">
        <f>IF(Q230="","",IF(Q230&gt;=Referencia!$B$8,"C","NC"))</f>
        <v/>
      </c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5">
        <f>IF(F230="","",(N230="NC")+(R230="NC")+(S230="Não")+(S230="Parcial")+(T230="Sim")+(U230="Sim")+(V230="Sim")+(W230="Sim")+(X230="Sim"))</f>
        <v/>
      </c>
      <c r="AB230" s="5">
        <f>IF(AA230="","",IF(AA230&gt;0,"Sim","Não"))</f>
        <v/>
      </c>
      <c r="AC230" s="3" t="n"/>
      <c r="AD230" s="3" t="n"/>
    </row>
    <row r="231">
      <c r="A231" s="3" t="n"/>
      <c r="B231" s="3" t="n"/>
      <c r="C231" s="4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5">
        <f>IF(H231&lt;&gt;"",H231,IF(AND(I231&lt;&gt;"",J231&lt;&gt;""),ROUND(I231*TAN(RADIANS(J231))+IF(K231="",1.6,K231),2),""))</f>
        <v/>
      </c>
      <c r="M231" s="5">
        <f>IF(D231="","",IFERROR(IF(VLOOKUP(D231,Referencia!$A$2:$B$5,2,FALSE)="","",VLOOKUP(D231,Referencia!$A$2:$B$5,2,FALSE)),""))</f>
        <v/>
      </c>
      <c r="N231" s="5">
        <f>IF(OR(L231="",M231=""),"",IF(L231&gt;=M231,"C","NC"))</f>
        <v/>
      </c>
      <c r="O231" s="3" t="n"/>
      <c r="P231" s="3" t="n"/>
      <c r="Q231" s="5">
        <f>IF(OR(O231="",P231=""),"",ROUND(O231-P231,2))</f>
        <v/>
      </c>
      <c r="R231" s="5">
        <f>IF(Q231="","",IF(Q231&gt;=Referencia!$B$8,"C","NC"))</f>
        <v/>
      </c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5">
        <f>IF(F231="","",(N231="NC")+(R231="NC")+(S231="Não")+(S231="Parcial")+(T231="Sim")+(U231="Sim")+(V231="Sim")+(W231="Sim")+(X231="Sim"))</f>
        <v/>
      </c>
      <c r="AB231" s="5">
        <f>IF(AA231="","",IF(AA231&gt;0,"Sim","Não"))</f>
        <v/>
      </c>
      <c r="AC231" s="3" t="n"/>
      <c r="AD231" s="3" t="n"/>
    </row>
    <row r="232">
      <c r="A232" s="3" t="n"/>
      <c r="B232" s="3" t="n"/>
      <c r="C232" s="4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5">
        <f>IF(H232&lt;&gt;"",H232,IF(AND(I232&lt;&gt;"",J232&lt;&gt;""),ROUND(I232*TAN(RADIANS(J232))+IF(K232="",1.6,K232),2),""))</f>
        <v/>
      </c>
      <c r="M232" s="5">
        <f>IF(D232="","",IFERROR(IF(VLOOKUP(D232,Referencia!$A$2:$B$5,2,FALSE)="","",VLOOKUP(D232,Referencia!$A$2:$B$5,2,FALSE)),""))</f>
        <v/>
      </c>
      <c r="N232" s="5">
        <f>IF(OR(L232="",M232=""),"",IF(L232&gt;=M232,"C","NC"))</f>
        <v/>
      </c>
      <c r="O232" s="3" t="n"/>
      <c r="P232" s="3" t="n"/>
      <c r="Q232" s="5">
        <f>IF(OR(O232="",P232=""),"",ROUND(O232-P232,2))</f>
        <v/>
      </c>
      <c r="R232" s="5">
        <f>IF(Q232="","",IF(Q232&gt;=Referencia!$B$8,"C","NC"))</f>
        <v/>
      </c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5">
        <f>IF(F232="","",(N232="NC")+(R232="NC")+(S232="Não")+(S232="Parcial")+(T232="Sim")+(U232="Sim")+(V232="Sim")+(W232="Sim")+(X232="Sim"))</f>
        <v/>
      </c>
      <c r="AB232" s="5">
        <f>IF(AA232="","",IF(AA232&gt;0,"Sim","Não"))</f>
        <v/>
      </c>
      <c r="AC232" s="3" t="n"/>
      <c r="AD232" s="3" t="n"/>
    </row>
    <row r="233">
      <c r="A233" s="3" t="n"/>
      <c r="B233" s="3" t="n"/>
      <c r="C233" s="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5">
        <f>IF(H233&lt;&gt;"",H233,IF(AND(I233&lt;&gt;"",J233&lt;&gt;""),ROUND(I233*TAN(RADIANS(J233))+IF(K233="",1.6,K233),2),""))</f>
        <v/>
      </c>
      <c r="M233" s="5">
        <f>IF(D233="","",IFERROR(IF(VLOOKUP(D233,Referencia!$A$2:$B$5,2,FALSE)="","",VLOOKUP(D233,Referencia!$A$2:$B$5,2,FALSE)),""))</f>
        <v/>
      </c>
      <c r="N233" s="5">
        <f>IF(OR(L233="",M233=""),"",IF(L233&gt;=M233,"C","NC"))</f>
        <v/>
      </c>
      <c r="O233" s="3" t="n"/>
      <c r="P233" s="3" t="n"/>
      <c r="Q233" s="5">
        <f>IF(OR(O233="",P233=""),"",ROUND(O233-P233,2))</f>
        <v/>
      </c>
      <c r="R233" s="5">
        <f>IF(Q233="","",IF(Q233&gt;=Referencia!$B$8,"C","NC"))</f>
        <v/>
      </c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5">
        <f>IF(F233="","",(N233="NC")+(R233="NC")+(S233="Não")+(S233="Parcial")+(T233="Sim")+(U233="Sim")+(V233="Sim")+(W233="Sim")+(X233="Sim"))</f>
        <v/>
      </c>
      <c r="AB233" s="5">
        <f>IF(AA233="","",IF(AA233&gt;0,"Sim","Não"))</f>
        <v/>
      </c>
      <c r="AC233" s="3" t="n"/>
      <c r="AD233" s="3" t="n"/>
    </row>
    <row r="234">
      <c r="A234" s="3" t="n"/>
      <c r="B234" s="3" t="n"/>
      <c r="C234" s="4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5">
        <f>IF(H234&lt;&gt;"",H234,IF(AND(I234&lt;&gt;"",J234&lt;&gt;""),ROUND(I234*TAN(RADIANS(J234))+IF(K234="",1.6,K234),2),""))</f>
        <v/>
      </c>
      <c r="M234" s="5">
        <f>IF(D234="","",IFERROR(IF(VLOOKUP(D234,Referencia!$A$2:$B$5,2,FALSE)="","",VLOOKUP(D234,Referencia!$A$2:$B$5,2,FALSE)),""))</f>
        <v/>
      </c>
      <c r="N234" s="5">
        <f>IF(OR(L234="",M234=""),"",IF(L234&gt;=M234,"C","NC"))</f>
        <v/>
      </c>
      <c r="O234" s="3" t="n"/>
      <c r="P234" s="3" t="n"/>
      <c r="Q234" s="5">
        <f>IF(OR(O234="",P234=""),"",ROUND(O234-P234,2))</f>
        <v/>
      </c>
      <c r="R234" s="5">
        <f>IF(Q234="","",IF(Q234&gt;=Referencia!$B$8,"C","NC"))</f>
        <v/>
      </c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5">
        <f>IF(F234="","",(N234="NC")+(R234="NC")+(S234="Não")+(S234="Parcial")+(T234="Sim")+(U234="Sim")+(V234="Sim")+(W234="Sim")+(X234="Sim"))</f>
        <v/>
      </c>
      <c r="AB234" s="5">
        <f>IF(AA234="","",IF(AA234&gt;0,"Sim","Não"))</f>
        <v/>
      </c>
      <c r="AC234" s="3" t="n"/>
      <c r="AD234" s="3" t="n"/>
    </row>
    <row r="235">
      <c r="A235" s="3" t="n"/>
      <c r="B235" s="3" t="n"/>
      <c r="C235" s="4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5">
        <f>IF(H235&lt;&gt;"",H235,IF(AND(I235&lt;&gt;"",J235&lt;&gt;""),ROUND(I235*TAN(RADIANS(J235))+IF(K235="",1.6,K235),2),""))</f>
        <v/>
      </c>
      <c r="M235" s="5">
        <f>IF(D235="","",IFERROR(IF(VLOOKUP(D235,Referencia!$A$2:$B$5,2,FALSE)="","",VLOOKUP(D235,Referencia!$A$2:$B$5,2,FALSE)),""))</f>
        <v/>
      </c>
      <c r="N235" s="5">
        <f>IF(OR(L235="",M235=""),"",IF(L235&gt;=M235,"C","NC"))</f>
        <v/>
      </c>
      <c r="O235" s="3" t="n"/>
      <c r="P235" s="3" t="n"/>
      <c r="Q235" s="5">
        <f>IF(OR(O235="",P235=""),"",ROUND(O235-P235,2))</f>
        <v/>
      </c>
      <c r="R235" s="5">
        <f>IF(Q235="","",IF(Q235&gt;=Referencia!$B$8,"C","NC"))</f>
        <v/>
      </c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5">
        <f>IF(F235="","",(N235="NC")+(R235="NC")+(S235="Não")+(S235="Parcial")+(T235="Sim")+(U235="Sim")+(V235="Sim")+(W235="Sim")+(X235="Sim"))</f>
        <v/>
      </c>
      <c r="AB235" s="5">
        <f>IF(AA235="","",IF(AA235&gt;0,"Sim","Não"))</f>
        <v/>
      </c>
      <c r="AC235" s="3" t="n"/>
      <c r="AD235" s="3" t="n"/>
    </row>
    <row r="236">
      <c r="A236" s="3" t="n"/>
      <c r="B236" s="3" t="n"/>
      <c r="C236" s="4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5">
        <f>IF(H236&lt;&gt;"",H236,IF(AND(I236&lt;&gt;"",J236&lt;&gt;""),ROUND(I236*TAN(RADIANS(J236))+IF(K236="",1.6,K236),2),""))</f>
        <v/>
      </c>
      <c r="M236" s="5">
        <f>IF(D236="","",IFERROR(IF(VLOOKUP(D236,Referencia!$A$2:$B$5,2,FALSE)="","",VLOOKUP(D236,Referencia!$A$2:$B$5,2,FALSE)),""))</f>
        <v/>
      </c>
      <c r="N236" s="5">
        <f>IF(OR(L236="",M236=""),"",IF(L236&gt;=M236,"C","NC"))</f>
        <v/>
      </c>
      <c r="O236" s="3" t="n"/>
      <c r="P236" s="3" t="n"/>
      <c r="Q236" s="5">
        <f>IF(OR(O236="",P236=""),"",ROUND(O236-P236,2))</f>
        <v/>
      </c>
      <c r="R236" s="5">
        <f>IF(Q236="","",IF(Q236&gt;=Referencia!$B$8,"C","NC"))</f>
        <v/>
      </c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5">
        <f>IF(F236="","",(N236="NC")+(R236="NC")+(S236="Não")+(S236="Parcial")+(T236="Sim")+(U236="Sim")+(V236="Sim")+(W236="Sim")+(X236="Sim"))</f>
        <v/>
      </c>
      <c r="AB236" s="5">
        <f>IF(AA236="","",IF(AA236&gt;0,"Sim","Não"))</f>
        <v/>
      </c>
      <c r="AC236" s="3" t="n"/>
      <c r="AD236" s="3" t="n"/>
    </row>
    <row r="237">
      <c r="A237" s="3" t="n"/>
      <c r="B237" s="3" t="n"/>
      <c r="C237" s="4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5">
        <f>IF(H237&lt;&gt;"",H237,IF(AND(I237&lt;&gt;"",J237&lt;&gt;""),ROUND(I237*TAN(RADIANS(J237))+IF(K237="",1.6,K237),2),""))</f>
        <v/>
      </c>
      <c r="M237" s="5">
        <f>IF(D237="","",IFERROR(IF(VLOOKUP(D237,Referencia!$A$2:$B$5,2,FALSE)="","",VLOOKUP(D237,Referencia!$A$2:$B$5,2,FALSE)),""))</f>
        <v/>
      </c>
      <c r="N237" s="5">
        <f>IF(OR(L237="",M237=""),"",IF(L237&gt;=M237,"C","NC"))</f>
        <v/>
      </c>
      <c r="O237" s="3" t="n"/>
      <c r="P237" s="3" t="n"/>
      <c r="Q237" s="5">
        <f>IF(OR(O237="",P237=""),"",ROUND(O237-P237,2))</f>
        <v/>
      </c>
      <c r="R237" s="5">
        <f>IF(Q237="","",IF(Q237&gt;=Referencia!$B$8,"C","NC"))</f>
        <v/>
      </c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5">
        <f>IF(F237="","",(N237="NC")+(R237="NC")+(S237="Não")+(S237="Parcial")+(T237="Sim")+(U237="Sim")+(V237="Sim")+(W237="Sim")+(X237="Sim"))</f>
        <v/>
      </c>
      <c r="AB237" s="5">
        <f>IF(AA237="","",IF(AA237&gt;0,"Sim","Não"))</f>
        <v/>
      </c>
      <c r="AC237" s="3" t="n"/>
      <c r="AD237" s="3" t="n"/>
    </row>
    <row r="238">
      <c r="A238" s="3" t="n"/>
      <c r="B238" s="3" t="n"/>
      <c r="C238" s="4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5">
        <f>IF(H238&lt;&gt;"",H238,IF(AND(I238&lt;&gt;"",J238&lt;&gt;""),ROUND(I238*TAN(RADIANS(J238))+IF(K238="",1.6,K238),2),""))</f>
        <v/>
      </c>
      <c r="M238" s="5">
        <f>IF(D238="","",IFERROR(IF(VLOOKUP(D238,Referencia!$A$2:$B$5,2,FALSE)="","",VLOOKUP(D238,Referencia!$A$2:$B$5,2,FALSE)),""))</f>
        <v/>
      </c>
      <c r="N238" s="5">
        <f>IF(OR(L238="",M238=""),"",IF(L238&gt;=M238,"C","NC"))</f>
        <v/>
      </c>
      <c r="O238" s="3" t="n"/>
      <c r="P238" s="3" t="n"/>
      <c r="Q238" s="5">
        <f>IF(OR(O238="",P238=""),"",ROUND(O238-P238,2))</f>
        <v/>
      </c>
      <c r="R238" s="5">
        <f>IF(Q238="","",IF(Q238&gt;=Referencia!$B$8,"C","NC"))</f>
        <v/>
      </c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5">
        <f>IF(F238="","",(N238="NC")+(R238="NC")+(S238="Não")+(S238="Parcial")+(T238="Sim")+(U238="Sim")+(V238="Sim")+(W238="Sim")+(X238="Sim"))</f>
        <v/>
      </c>
      <c r="AB238" s="5">
        <f>IF(AA238="","",IF(AA238&gt;0,"Sim","Não"))</f>
        <v/>
      </c>
      <c r="AC238" s="3" t="n"/>
      <c r="AD238" s="3" t="n"/>
    </row>
    <row r="239">
      <c r="A239" s="3" t="n"/>
      <c r="B239" s="3" t="n"/>
      <c r="C239" s="4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5">
        <f>IF(H239&lt;&gt;"",H239,IF(AND(I239&lt;&gt;"",J239&lt;&gt;""),ROUND(I239*TAN(RADIANS(J239))+IF(K239="",1.6,K239),2),""))</f>
        <v/>
      </c>
      <c r="M239" s="5">
        <f>IF(D239="","",IFERROR(IF(VLOOKUP(D239,Referencia!$A$2:$B$5,2,FALSE)="","",VLOOKUP(D239,Referencia!$A$2:$B$5,2,FALSE)),""))</f>
        <v/>
      </c>
      <c r="N239" s="5">
        <f>IF(OR(L239="",M239=""),"",IF(L239&gt;=M239,"C","NC"))</f>
        <v/>
      </c>
      <c r="O239" s="3" t="n"/>
      <c r="P239" s="3" t="n"/>
      <c r="Q239" s="5">
        <f>IF(OR(O239="",P239=""),"",ROUND(O239-P239,2))</f>
        <v/>
      </c>
      <c r="R239" s="5">
        <f>IF(Q239="","",IF(Q239&gt;=Referencia!$B$8,"C","NC"))</f>
        <v/>
      </c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5">
        <f>IF(F239="","",(N239="NC")+(R239="NC")+(S239="Não")+(S239="Parcial")+(T239="Sim")+(U239="Sim")+(V239="Sim")+(W239="Sim")+(X239="Sim"))</f>
        <v/>
      </c>
      <c r="AB239" s="5">
        <f>IF(AA239="","",IF(AA239&gt;0,"Sim","Não"))</f>
        <v/>
      </c>
      <c r="AC239" s="3" t="n"/>
      <c r="AD239" s="3" t="n"/>
    </row>
    <row r="240">
      <c r="A240" s="3" t="n"/>
      <c r="B240" s="3" t="n"/>
      <c r="C240" s="4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5">
        <f>IF(H240&lt;&gt;"",H240,IF(AND(I240&lt;&gt;"",J240&lt;&gt;""),ROUND(I240*TAN(RADIANS(J240))+IF(K240="",1.6,K240),2),""))</f>
        <v/>
      </c>
      <c r="M240" s="5">
        <f>IF(D240="","",IFERROR(IF(VLOOKUP(D240,Referencia!$A$2:$B$5,2,FALSE)="","",VLOOKUP(D240,Referencia!$A$2:$B$5,2,FALSE)),""))</f>
        <v/>
      </c>
      <c r="N240" s="5">
        <f>IF(OR(L240="",M240=""),"",IF(L240&gt;=M240,"C","NC"))</f>
        <v/>
      </c>
      <c r="O240" s="3" t="n"/>
      <c r="P240" s="3" t="n"/>
      <c r="Q240" s="5">
        <f>IF(OR(O240="",P240=""),"",ROUND(O240-P240,2))</f>
        <v/>
      </c>
      <c r="R240" s="5">
        <f>IF(Q240="","",IF(Q240&gt;=Referencia!$B$8,"C","NC"))</f>
        <v/>
      </c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5">
        <f>IF(F240="","",(N240="NC")+(R240="NC")+(S240="Não")+(S240="Parcial")+(T240="Sim")+(U240="Sim")+(V240="Sim")+(W240="Sim")+(X240="Sim"))</f>
        <v/>
      </c>
      <c r="AB240" s="5">
        <f>IF(AA240="","",IF(AA240&gt;0,"Sim","Não"))</f>
        <v/>
      </c>
      <c r="AC240" s="3" t="n"/>
      <c r="AD240" s="3" t="n"/>
    </row>
    <row r="241">
      <c r="A241" s="3" t="n"/>
      <c r="B241" s="3" t="n"/>
      <c r="C241" s="4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5">
        <f>IF(H241&lt;&gt;"",H241,IF(AND(I241&lt;&gt;"",J241&lt;&gt;""),ROUND(I241*TAN(RADIANS(J241))+IF(K241="",1.6,K241),2),""))</f>
        <v/>
      </c>
      <c r="M241" s="5">
        <f>IF(D241="","",IFERROR(IF(VLOOKUP(D241,Referencia!$A$2:$B$5,2,FALSE)="","",VLOOKUP(D241,Referencia!$A$2:$B$5,2,FALSE)),""))</f>
        <v/>
      </c>
      <c r="N241" s="5">
        <f>IF(OR(L241="",M241=""),"",IF(L241&gt;=M241,"C","NC"))</f>
        <v/>
      </c>
      <c r="O241" s="3" t="n"/>
      <c r="P241" s="3" t="n"/>
      <c r="Q241" s="5">
        <f>IF(OR(O241="",P241=""),"",ROUND(O241-P241,2))</f>
        <v/>
      </c>
      <c r="R241" s="5">
        <f>IF(Q241="","",IF(Q241&gt;=Referencia!$B$8,"C","NC"))</f>
        <v/>
      </c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5">
        <f>IF(F241="","",(N241="NC")+(R241="NC")+(S241="Não")+(S241="Parcial")+(T241="Sim")+(U241="Sim")+(V241="Sim")+(W241="Sim")+(X241="Sim"))</f>
        <v/>
      </c>
      <c r="AB241" s="5">
        <f>IF(AA241="","",IF(AA241&gt;0,"Sim","Não"))</f>
        <v/>
      </c>
      <c r="AC241" s="3" t="n"/>
      <c r="AD241" s="3" t="n"/>
    </row>
    <row r="242">
      <c r="A242" s="3" t="n"/>
      <c r="B242" s="3" t="n"/>
      <c r="C242" s="4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5">
        <f>IF(H242&lt;&gt;"",H242,IF(AND(I242&lt;&gt;"",J242&lt;&gt;""),ROUND(I242*TAN(RADIANS(J242))+IF(K242="",1.6,K242),2),""))</f>
        <v/>
      </c>
      <c r="M242" s="5">
        <f>IF(D242="","",IFERROR(IF(VLOOKUP(D242,Referencia!$A$2:$B$5,2,FALSE)="","",VLOOKUP(D242,Referencia!$A$2:$B$5,2,FALSE)),""))</f>
        <v/>
      </c>
      <c r="N242" s="5">
        <f>IF(OR(L242="",M242=""),"",IF(L242&gt;=M242,"C","NC"))</f>
        <v/>
      </c>
      <c r="O242" s="3" t="n"/>
      <c r="P242" s="3" t="n"/>
      <c r="Q242" s="5">
        <f>IF(OR(O242="",P242=""),"",ROUND(O242-P242,2))</f>
        <v/>
      </c>
      <c r="R242" s="5">
        <f>IF(Q242="","",IF(Q242&gt;=Referencia!$B$8,"C","NC"))</f>
        <v/>
      </c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5">
        <f>IF(F242="","",(N242="NC")+(R242="NC")+(S242="Não")+(S242="Parcial")+(T242="Sim")+(U242="Sim")+(V242="Sim")+(W242="Sim")+(X242="Sim"))</f>
        <v/>
      </c>
      <c r="AB242" s="5">
        <f>IF(AA242="","",IF(AA242&gt;0,"Sim","Não"))</f>
        <v/>
      </c>
      <c r="AC242" s="3" t="n"/>
      <c r="AD242" s="3" t="n"/>
    </row>
    <row r="243">
      <c r="A243" s="3" t="n"/>
      <c r="B243" s="3" t="n"/>
      <c r="C243" s="4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5">
        <f>IF(H243&lt;&gt;"",H243,IF(AND(I243&lt;&gt;"",J243&lt;&gt;""),ROUND(I243*TAN(RADIANS(J243))+IF(K243="",1.6,K243),2),""))</f>
        <v/>
      </c>
      <c r="M243" s="5">
        <f>IF(D243="","",IFERROR(IF(VLOOKUP(D243,Referencia!$A$2:$B$5,2,FALSE)="","",VLOOKUP(D243,Referencia!$A$2:$B$5,2,FALSE)),""))</f>
        <v/>
      </c>
      <c r="N243" s="5">
        <f>IF(OR(L243="",M243=""),"",IF(L243&gt;=M243,"C","NC"))</f>
        <v/>
      </c>
      <c r="O243" s="3" t="n"/>
      <c r="P243" s="3" t="n"/>
      <c r="Q243" s="5">
        <f>IF(OR(O243="",P243=""),"",ROUND(O243-P243,2))</f>
        <v/>
      </c>
      <c r="R243" s="5">
        <f>IF(Q243="","",IF(Q243&gt;=Referencia!$B$8,"C","NC"))</f>
        <v/>
      </c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5">
        <f>IF(F243="","",(N243="NC")+(R243="NC")+(S243="Não")+(S243="Parcial")+(T243="Sim")+(U243="Sim")+(V243="Sim")+(W243="Sim")+(X243="Sim"))</f>
        <v/>
      </c>
      <c r="AB243" s="5">
        <f>IF(AA243="","",IF(AA243&gt;0,"Sim","Não"))</f>
        <v/>
      </c>
      <c r="AC243" s="3" t="n"/>
      <c r="AD243" s="3" t="n"/>
    </row>
    <row r="244">
      <c r="A244" s="3" t="n"/>
      <c r="B244" s="3" t="n"/>
      <c r="C244" s="4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5">
        <f>IF(H244&lt;&gt;"",H244,IF(AND(I244&lt;&gt;"",J244&lt;&gt;""),ROUND(I244*TAN(RADIANS(J244))+IF(K244="",1.6,K244),2),""))</f>
        <v/>
      </c>
      <c r="M244" s="5">
        <f>IF(D244="","",IFERROR(IF(VLOOKUP(D244,Referencia!$A$2:$B$5,2,FALSE)="","",VLOOKUP(D244,Referencia!$A$2:$B$5,2,FALSE)),""))</f>
        <v/>
      </c>
      <c r="N244" s="5">
        <f>IF(OR(L244="",M244=""),"",IF(L244&gt;=M244,"C","NC"))</f>
        <v/>
      </c>
      <c r="O244" s="3" t="n"/>
      <c r="P244" s="3" t="n"/>
      <c r="Q244" s="5">
        <f>IF(OR(O244="",P244=""),"",ROUND(O244-P244,2))</f>
        <v/>
      </c>
      <c r="R244" s="5">
        <f>IF(Q244="","",IF(Q244&gt;=Referencia!$B$8,"C","NC"))</f>
        <v/>
      </c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5">
        <f>IF(F244="","",(N244="NC")+(R244="NC")+(S244="Não")+(S244="Parcial")+(T244="Sim")+(U244="Sim")+(V244="Sim")+(W244="Sim")+(X244="Sim"))</f>
        <v/>
      </c>
      <c r="AB244" s="5">
        <f>IF(AA244="","",IF(AA244&gt;0,"Sim","Não"))</f>
        <v/>
      </c>
      <c r="AC244" s="3" t="n"/>
      <c r="AD244" s="3" t="n"/>
    </row>
    <row r="245">
      <c r="A245" s="3" t="n"/>
      <c r="B245" s="3" t="n"/>
      <c r="C245" s="4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5">
        <f>IF(H245&lt;&gt;"",H245,IF(AND(I245&lt;&gt;"",J245&lt;&gt;""),ROUND(I245*TAN(RADIANS(J245))+IF(K245="",1.6,K245),2),""))</f>
        <v/>
      </c>
      <c r="M245" s="5">
        <f>IF(D245="","",IFERROR(IF(VLOOKUP(D245,Referencia!$A$2:$B$5,2,FALSE)="","",VLOOKUP(D245,Referencia!$A$2:$B$5,2,FALSE)),""))</f>
        <v/>
      </c>
      <c r="N245" s="5">
        <f>IF(OR(L245="",M245=""),"",IF(L245&gt;=M245,"C","NC"))</f>
        <v/>
      </c>
      <c r="O245" s="3" t="n"/>
      <c r="P245" s="3" t="n"/>
      <c r="Q245" s="5">
        <f>IF(OR(O245="",P245=""),"",ROUND(O245-P245,2))</f>
        <v/>
      </c>
      <c r="R245" s="5">
        <f>IF(Q245="","",IF(Q245&gt;=Referencia!$B$8,"C","NC"))</f>
        <v/>
      </c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5">
        <f>IF(F245="","",(N245="NC")+(R245="NC")+(S245="Não")+(S245="Parcial")+(T245="Sim")+(U245="Sim")+(V245="Sim")+(W245="Sim")+(X245="Sim"))</f>
        <v/>
      </c>
      <c r="AB245" s="5">
        <f>IF(AA245="","",IF(AA245&gt;0,"Sim","Não"))</f>
        <v/>
      </c>
      <c r="AC245" s="3" t="n"/>
      <c r="AD245" s="3" t="n"/>
    </row>
    <row r="246">
      <c r="A246" s="3" t="n"/>
      <c r="B246" s="3" t="n"/>
      <c r="C246" s="4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5">
        <f>IF(H246&lt;&gt;"",H246,IF(AND(I246&lt;&gt;"",J246&lt;&gt;""),ROUND(I246*TAN(RADIANS(J246))+IF(K246="",1.6,K246),2),""))</f>
        <v/>
      </c>
      <c r="M246" s="5">
        <f>IF(D246="","",IFERROR(IF(VLOOKUP(D246,Referencia!$A$2:$B$5,2,FALSE)="","",VLOOKUP(D246,Referencia!$A$2:$B$5,2,FALSE)),""))</f>
        <v/>
      </c>
      <c r="N246" s="5">
        <f>IF(OR(L246="",M246=""),"",IF(L246&gt;=M246,"C","NC"))</f>
        <v/>
      </c>
      <c r="O246" s="3" t="n"/>
      <c r="P246" s="3" t="n"/>
      <c r="Q246" s="5">
        <f>IF(OR(O246="",P246=""),"",ROUND(O246-P246,2))</f>
        <v/>
      </c>
      <c r="R246" s="5">
        <f>IF(Q246="","",IF(Q246&gt;=Referencia!$B$8,"C","NC"))</f>
        <v/>
      </c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5">
        <f>IF(F246="","",(N246="NC")+(R246="NC")+(S246="Não")+(S246="Parcial")+(T246="Sim")+(U246="Sim")+(V246="Sim")+(W246="Sim")+(X246="Sim"))</f>
        <v/>
      </c>
      <c r="AB246" s="5">
        <f>IF(AA246="","",IF(AA246&gt;0,"Sim","Não"))</f>
        <v/>
      </c>
      <c r="AC246" s="3" t="n"/>
      <c r="AD246" s="3" t="n"/>
    </row>
    <row r="247">
      <c r="A247" s="3" t="n"/>
      <c r="B247" s="3" t="n"/>
      <c r="C247" s="4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5">
        <f>IF(H247&lt;&gt;"",H247,IF(AND(I247&lt;&gt;"",J247&lt;&gt;""),ROUND(I247*TAN(RADIANS(J247))+IF(K247="",1.6,K247),2),""))</f>
        <v/>
      </c>
      <c r="M247" s="5">
        <f>IF(D247="","",IFERROR(IF(VLOOKUP(D247,Referencia!$A$2:$B$5,2,FALSE)="","",VLOOKUP(D247,Referencia!$A$2:$B$5,2,FALSE)),""))</f>
        <v/>
      </c>
      <c r="N247" s="5">
        <f>IF(OR(L247="",M247=""),"",IF(L247&gt;=M247,"C","NC"))</f>
        <v/>
      </c>
      <c r="O247" s="3" t="n"/>
      <c r="P247" s="3" t="n"/>
      <c r="Q247" s="5">
        <f>IF(OR(O247="",P247=""),"",ROUND(O247-P247,2))</f>
        <v/>
      </c>
      <c r="R247" s="5">
        <f>IF(Q247="","",IF(Q247&gt;=Referencia!$B$8,"C","NC"))</f>
        <v/>
      </c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5">
        <f>IF(F247="","",(N247="NC")+(R247="NC")+(S247="Não")+(S247="Parcial")+(T247="Sim")+(U247="Sim")+(V247="Sim")+(W247="Sim")+(X247="Sim"))</f>
        <v/>
      </c>
      <c r="AB247" s="5">
        <f>IF(AA247="","",IF(AA247&gt;0,"Sim","Não"))</f>
        <v/>
      </c>
      <c r="AC247" s="3" t="n"/>
      <c r="AD247" s="3" t="n"/>
    </row>
    <row r="248">
      <c r="A248" s="3" t="n"/>
      <c r="B248" s="3" t="n"/>
      <c r="C248" s="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5">
        <f>IF(H248&lt;&gt;"",H248,IF(AND(I248&lt;&gt;"",J248&lt;&gt;""),ROUND(I248*TAN(RADIANS(J248))+IF(K248="",1.6,K248),2),""))</f>
        <v/>
      </c>
      <c r="M248" s="5">
        <f>IF(D248="","",IFERROR(IF(VLOOKUP(D248,Referencia!$A$2:$B$5,2,FALSE)="","",VLOOKUP(D248,Referencia!$A$2:$B$5,2,FALSE)),""))</f>
        <v/>
      </c>
      <c r="N248" s="5">
        <f>IF(OR(L248="",M248=""),"",IF(L248&gt;=M248,"C","NC"))</f>
        <v/>
      </c>
      <c r="O248" s="3" t="n"/>
      <c r="P248" s="3" t="n"/>
      <c r="Q248" s="5">
        <f>IF(OR(O248="",P248=""),"",ROUND(O248-P248,2))</f>
        <v/>
      </c>
      <c r="R248" s="5">
        <f>IF(Q248="","",IF(Q248&gt;=Referencia!$B$8,"C","NC"))</f>
        <v/>
      </c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5">
        <f>IF(F248="","",(N248="NC")+(R248="NC")+(S248="Não")+(S248="Parcial")+(T248="Sim")+(U248="Sim")+(V248="Sim")+(W248="Sim")+(X248="Sim"))</f>
        <v/>
      </c>
      <c r="AB248" s="5">
        <f>IF(AA248="","",IF(AA248&gt;0,"Sim","Não"))</f>
        <v/>
      </c>
      <c r="AC248" s="3" t="n"/>
      <c r="AD248" s="3" t="n"/>
    </row>
    <row r="249">
      <c r="A249" s="3" t="n"/>
      <c r="B249" s="3" t="n"/>
      <c r="C249" s="4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5">
        <f>IF(H249&lt;&gt;"",H249,IF(AND(I249&lt;&gt;"",J249&lt;&gt;""),ROUND(I249*TAN(RADIANS(J249))+IF(K249="",1.6,K249),2),""))</f>
        <v/>
      </c>
      <c r="M249" s="5">
        <f>IF(D249="","",IFERROR(IF(VLOOKUP(D249,Referencia!$A$2:$B$5,2,FALSE)="","",VLOOKUP(D249,Referencia!$A$2:$B$5,2,FALSE)),""))</f>
        <v/>
      </c>
      <c r="N249" s="5">
        <f>IF(OR(L249="",M249=""),"",IF(L249&gt;=M249,"C","NC"))</f>
        <v/>
      </c>
      <c r="O249" s="3" t="n"/>
      <c r="P249" s="3" t="n"/>
      <c r="Q249" s="5">
        <f>IF(OR(O249="",P249=""),"",ROUND(O249-P249,2))</f>
        <v/>
      </c>
      <c r="R249" s="5">
        <f>IF(Q249="","",IF(Q249&gt;=Referencia!$B$8,"C","NC"))</f>
        <v/>
      </c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5">
        <f>IF(F249="","",(N249="NC")+(R249="NC")+(S249="Não")+(S249="Parcial")+(T249="Sim")+(U249="Sim")+(V249="Sim")+(W249="Sim")+(X249="Sim"))</f>
        <v/>
      </c>
      <c r="AB249" s="5">
        <f>IF(AA249="","",IF(AA249&gt;0,"Sim","Não"))</f>
        <v/>
      </c>
      <c r="AC249" s="3" t="n"/>
      <c r="AD249" s="3" t="n"/>
    </row>
    <row r="250">
      <c r="A250" s="3" t="n"/>
      <c r="B250" s="3" t="n"/>
      <c r="C250" s="4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5">
        <f>IF(H250&lt;&gt;"",H250,IF(AND(I250&lt;&gt;"",J250&lt;&gt;""),ROUND(I250*TAN(RADIANS(J250))+IF(K250="",1.6,K250),2),""))</f>
        <v/>
      </c>
      <c r="M250" s="5">
        <f>IF(D250="","",IFERROR(IF(VLOOKUP(D250,Referencia!$A$2:$B$5,2,FALSE)="","",VLOOKUP(D250,Referencia!$A$2:$B$5,2,FALSE)),""))</f>
        <v/>
      </c>
      <c r="N250" s="5">
        <f>IF(OR(L250="",M250=""),"",IF(L250&gt;=M250,"C","NC"))</f>
        <v/>
      </c>
      <c r="O250" s="3" t="n"/>
      <c r="P250" s="3" t="n"/>
      <c r="Q250" s="5">
        <f>IF(OR(O250="",P250=""),"",ROUND(O250-P250,2))</f>
        <v/>
      </c>
      <c r="R250" s="5">
        <f>IF(Q250="","",IF(Q250&gt;=Referencia!$B$8,"C","NC"))</f>
        <v/>
      </c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5">
        <f>IF(F250="","",(N250="NC")+(R250="NC")+(S250="Não")+(S250="Parcial")+(T250="Sim")+(U250="Sim")+(V250="Sim")+(W250="Sim")+(X250="Sim"))</f>
        <v/>
      </c>
      <c r="AB250" s="5">
        <f>IF(AA250="","",IF(AA250&gt;0,"Sim","Não"))</f>
        <v/>
      </c>
      <c r="AC250" s="3" t="n"/>
      <c r="AD250" s="3" t="n"/>
    </row>
    <row r="251">
      <c r="A251" s="3" t="n"/>
      <c r="B251" s="3" t="n"/>
      <c r="C251" s="4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5">
        <f>IF(H251&lt;&gt;"",H251,IF(AND(I251&lt;&gt;"",J251&lt;&gt;""),ROUND(I251*TAN(RADIANS(J251))+IF(K251="",1.6,K251),2),""))</f>
        <v/>
      </c>
      <c r="M251" s="5">
        <f>IF(D251="","",IFERROR(IF(VLOOKUP(D251,Referencia!$A$2:$B$5,2,FALSE)="","",VLOOKUP(D251,Referencia!$A$2:$B$5,2,FALSE)),""))</f>
        <v/>
      </c>
      <c r="N251" s="5">
        <f>IF(OR(L251="",M251=""),"",IF(L251&gt;=M251,"C","NC"))</f>
        <v/>
      </c>
      <c r="O251" s="3" t="n"/>
      <c r="P251" s="3" t="n"/>
      <c r="Q251" s="5">
        <f>IF(OR(O251="",P251=""),"",ROUND(O251-P251,2))</f>
        <v/>
      </c>
      <c r="R251" s="5">
        <f>IF(Q251="","",IF(Q251&gt;=Referencia!$B$8,"C","NC"))</f>
        <v/>
      </c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5">
        <f>IF(F251="","",(N251="NC")+(R251="NC")+(S251="Não")+(S251="Parcial")+(T251="Sim")+(U251="Sim")+(V251="Sim")+(W251="Sim")+(X251="Sim"))</f>
        <v/>
      </c>
      <c r="AB251" s="5">
        <f>IF(AA251="","",IF(AA251&gt;0,"Sim","Não"))</f>
        <v/>
      </c>
      <c r="AC251" s="3" t="n"/>
      <c r="AD251" s="3" t="n"/>
    </row>
    <row r="252">
      <c r="A252" s="3" t="n"/>
      <c r="B252" s="3" t="n"/>
      <c r="C252" s="4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5">
        <f>IF(H252&lt;&gt;"",H252,IF(AND(I252&lt;&gt;"",J252&lt;&gt;""),ROUND(I252*TAN(RADIANS(J252))+IF(K252="",1.6,K252),2),""))</f>
        <v/>
      </c>
      <c r="M252" s="5">
        <f>IF(D252="","",IFERROR(IF(VLOOKUP(D252,Referencia!$A$2:$B$5,2,FALSE)="","",VLOOKUP(D252,Referencia!$A$2:$B$5,2,FALSE)),""))</f>
        <v/>
      </c>
      <c r="N252" s="5">
        <f>IF(OR(L252="",M252=""),"",IF(L252&gt;=M252,"C","NC"))</f>
        <v/>
      </c>
      <c r="O252" s="3" t="n"/>
      <c r="P252" s="3" t="n"/>
      <c r="Q252" s="5">
        <f>IF(OR(O252="",P252=""),"",ROUND(O252-P252,2))</f>
        <v/>
      </c>
      <c r="R252" s="5">
        <f>IF(Q252="","",IF(Q252&gt;=Referencia!$B$8,"C","NC"))</f>
        <v/>
      </c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5">
        <f>IF(F252="","",(N252="NC")+(R252="NC")+(S252="Não")+(S252="Parcial")+(T252="Sim")+(U252="Sim")+(V252="Sim")+(W252="Sim")+(X252="Sim"))</f>
        <v/>
      </c>
      <c r="AB252" s="5">
        <f>IF(AA252="","",IF(AA252&gt;0,"Sim","Não"))</f>
        <v/>
      </c>
      <c r="AC252" s="3" t="n"/>
      <c r="AD252" s="3" t="n"/>
    </row>
    <row r="253">
      <c r="A253" s="3" t="n"/>
      <c r="B253" s="3" t="n"/>
      <c r="C253" s="4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5">
        <f>IF(H253&lt;&gt;"",H253,IF(AND(I253&lt;&gt;"",J253&lt;&gt;""),ROUND(I253*TAN(RADIANS(J253))+IF(K253="",1.6,K253),2),""))</f>
        <v/>
      </c>
      <c r="M253" s="5">
        <f>IF(D253="","",IFERROR(IF(VLOOKUP(D253,Referencia!$A$2:$B$5,2,FALSE)="","",VLOOKUP(D253,Referencia!$A$2:$B$5,2,FALSE)),""))</f>
        <v/>
      </c>
      <c r="N253" s="5">
        <f>IF(OR(L253="",M253=""),"",IF(L253&gt;=M253,"C","NC"))</f>
        <v/>
      </c>
      <c r="O253" s="3" t="n"/>
      <c r="P253" s="3" t="n"/>
      <c r="Q253" s="5">
        <f>IF(OR(O253="",P253=""),"",ROUND(O253-P253,2))</f>
        <v/>
      </c>
      <c r="R253" s="5">
        <f>IF(Q253="","",IF(Q253&gt;=Referencia!$B$8,"C","NC"))</f>
        <v/>
      </c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5">
        <f>IF(F253="","",(N253="NC")+(R253="NC")+(S253="Não")+(S253="Parcial")+(T253="Sim")+(U253="Sim")+(V253="Sim")+(W253="Sim")+(X253="Sim"))</f>
        <v/>
      </c>
      <c r="AB253" s="5">
        <f>IF(AA253="","",IF(AA253&gt;0,"Sim","Não"))</f>
        <v/>
      </c>
      <c r="AC253" s="3" t="n"/>
      <c r="AD253" s="3" t="n"/>
    </row>
    <row r="254">
      <c r="A254" s="3" t="n"/>
      <c r="B254" s="3" t="n"/>
      <c r="C254" s="4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5">
        <f>IF(H254&lt;&gt;"",H254,IF(AND(I254&lt;&gt;"",J254&lt;&gt;""),ROUND(I254*TAN(RADIANS(J254))+IF(K254="",1.6,K254),2),""))</f>
        <v/>
      </c>
      <c r="M254" s="5">
        <f>IF(D254="","",IFERROR(IF(VLOOKUP(D254,Referencia!$A$2:$B$5,2,FALSE)="","",VLOOKUP(D254,Referencia!$A$2:$B$5,2,FALSE)),""))</f>
        <v/>
      </c>
      <c r="N254" s="5">
        <f>IF(OR(L254="",M254=""),"",IF(L254&gt;=M254,"C","NC"))</f>
        <v/>
      </c>
      <c r="O254" s="3" t="n"/>
      <c r="P254" s="3" t="n"/>
      <c r="Q254" s="5">
        <f>IF(OR(O254="",P254=""),"",ROUND(O254-P254,2))</f>
        <v/>
      </c>
      <c r="R254" s="5">
        <f>IF(Q254="","",IF(Q254&gt;=Referencia!$B$8,"C","NC"))</f>
        <v/>
      </c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5">
        <f>IF(F254="","",(N254="NC")+(R254="NC")+(S254="Não")+(S254="Parcial")+(T254="Sim")+(U254="Sim")+(V254="Sim")+(W254="Sim")+(X254="Sim"))</f>
        <v/>
      </c>
      <c r="AB254" s="5">
        <f>IF(AA254="","",IF(AA254&gt;0,"Sim","Não"))</f>
        <v/>
      </c>
      <c r="AC254" s="3" t="n"/>
      <c r="AD254" s="3" t="n"/>
    </row>
    <row r="255">
      <c r="A255" s="3" t="n"/>
      <c r="B255" s="3" t="n"/>
      <c r="C255" s="4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5">
        <f>IF(H255&lt;&gt;"",H255,IF(AND(I255&lt;&gt;"",J255&lt;&gt;""),ROUND(I255*TAN(RADIANS(J255))+IF(K255="",1.6,K255),2),""))</f>
        <v/>
      </c>
      <c r="M255" s="5">
        <f>IF(D255="","",IFERROR(IF(VLOOKUP(D255,Referencia!$A$2:$B$5,2,FALSE)="","",VLOOKUP(D255,Referencia!$A$2:$B$5,2,FALSE)),""))</f>
        <v/>
      </c>
      <c r="N255" s="5">
        <f>IF(OR(L255="",M255=""),"",IF(L255&gt;=M255,"C","NC"))</f>
        <v/>
      </c>
      <c r="O255" s="3" t="n"/>
      <c r="P255" s="3" t="n"/>
      <c r="Q255" s="5">
        <f>IF(OR(O255="",P255=""),"",ROUND(O255-P255,2))</f>
        <v/>
      </c>
      <c r="R255" s="5">
        <f>IF(Q255="","",IF(Q255&gt;=Referencia!$B$8,"C","NC"))</f>
        <v/>
      </c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5">
        <f>IF(F255="","",(N255="NC")+(R255="NC")+(S255="Não")+(S255="Parcial")+(T255="Sim")+(U255="Sim")+(V255="Sim")+(W255="Sim")+(X255="Sim"))</f>
        <v/>
      </c>
      <c r="AB255" s="5">
        <f>IF(AA255="","",IF(AA255&gt;0,"Sim","Não"))</f>
        <v/>
      </c>
      <c r="AC255" s="3" t="n"/>
      <c r="AD255" s="3" t="n"/>
    </row>
    <row r="256">
      <c r="A256" s="3" t="n"/>
      <c r="B256" s="3" t="n"/>
      <c r="C256" s="4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5">
        <f>IF(H256&lt;&gt;"",H256,IF(AND(I256&lt;&gt;"",J256&lt;&gt;""),ROUND(I256*TAN(RADIANS(J256))+IF(K256="",1.6,K256),2),""))</f>
        <v/>
      </c>
      <c r="M256" s="5">
        <f>IF(D256="","",IFERROR(IF(VLOOKUP(D256,Referencia!$A$2:$B$5,2,FALSE)="","",VLOOKUP(D256,Referencia!$A$2:$B$5,2,FALSE)),""))</f>
        <v/>
      </c>
      <c r="N256" s="5">
        <f>IF(OR(L256="",M256=""),"",IF(L256&gt;=M256,"C","NC"))</f>
        <v/>
      </c>
      <c r="O256" s="3" t="n"/>
      <c r="P256" s="3" t="n"/>
      <c r="Q256" s="5">
        <f>IF(OR(O256="",P256=""),"",ROUND(O256-P256,2))</f>
        <v/>
      </c>
      <c r="R256" s="5">
        <f>IF(Q256="","",IF(Q256&gt;=Referencia!$B$8,"C","NC"))</f>
        <v/>
      </c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5">
        <f>IF(F256="","",(N256="NC")+(R256="NC")+(S256="Não")+(S256="Parcial")+(T256="Sim")+(U256="Sim")+(V256="Sim")+(W256="Sim")+(X256="Sim"))</f>
        <v/>
      </c>
      <c r="AB256" s="5">
        <f>IF(AA256="","",IF(AA256&gt;0,"Sim","Não"))</f>
        <v/>
      </c>
      <c r="AC256" s="3" t="n"/>
      <c r="AD256" s="3" t="n"/>
    </row>
    <row r="257">
      <c r="A257" s="3" t="n"/>
      <c r="B257" s="3" t="n"/>
      <c r="C257" s="4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5">
        <f>IF(H257&lt;&gt;"",H257,IF(AND(I257&lt;&gt;"",J257&lt;&gt;""),ROUND(I257*TAN(RADIANS(J257))+IF(K257="",1.6,K257),2),""))</f>
        <v/>
      </c>
      <c r="M257" s="5">
        <f>IF(D257="","",IFERROR(IF(VLOOKUP(D257,Referencia!$A$2:$B$5,2,FALSE)="","",VLOOKUP(D257,Referencia!$A$2:$B$5,2,FALSE)),""))</f>
        <v/>
      </c>
      <c r="N257" s="5">
        <f>IF(OR(L257="",M257=""),"",IF(L257&gt;=M257,"C","NC"))</f>
        <v/>
      </c>
      <c r="O257" s="3" t="n"/>
      <c r="P257" s="3" t="n"/>
      <c r="Q257" s="5">
        <f>IF(OR(O257="",P257=""),"",ROUND(O257-P257,2))</f>
        <v/>
      </c>
      <c r="R257" s="5">
        <f>IF(Q257="","",IF(Q257&gt;=Referencia!$B$8,"C","NC"))</f>
        <v/>
      </c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5">
        <f>IF(F257="","",(N257="NC")+(R257="NC")+(S257="Não")+(S257="Parcial")+(T257="Sim")+(U257="Sim")+(V257="Sim")+(W257="Sim")+(X257="Sim"))</f>
        <v/>
      </c>
      <c r="AB257" s="5">
        <f>IF(AA257="","",IF(AA257&gt;0,"Sim","Não"))</f>
        <v/>
      </c>
      <c r="AC257" s="3" t="n"/>
      <c r="AD257" s="3" t="n"/>
    </row>
    <row r="258">
      <c r="A258" s="3" t="n"/>
      <c r="B258" s="3" t="n"/>
      <c r="C258" s="4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5">
        <f>IF(H258&lt;&gt;"",H258,IF(AND(I258&lt;&gt;"",J258&lt;&gt;""),ROUND(I258*TAN(RADIANS(J258))+IF(K258="",1.6,K258),2),""))</f>
        <v/>
      </c>
      <c r="M258" s="5">
        <f>IF(D258="","",IFERROR(IF(VLOOKUP(D258,Referencia!$A$2:$B$5,2,FALSE)="","",VLOOKUP(D258,Referencia!$A$2:$B$5,2,FALSE)),""))</f>
        <v/>
      </c>
      <c r="N258" s="5">
        <f>IF(OR(L258="",M258=""),"",IF(L258&gt;=M258,"C","NC"))</f>
        <v/>
      </c>
      <c r="O258" s="3" t="n"/>
      <c r="P258" s="3" t="n"/>
      <c r="Q258" s="5">
        <f>IF(OR(O258="",P258=""),"",ROUND(O258-P258,2))</f>
        <v/>
      </c>
      <c r="R258" s="5">
        <f>IF(Q258="","",IF(Q258&gt;=Referencia!$B$8,"C","NC"))</f>
        <v/>
      </c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5">
        <f>IF(F258="","",(N258="NC")+(R258="NC")+(S258="Não")+(S258="Parcial")+(T258="Sim")+(U258="Sim")+(V258="Sim")+(W258="Sim")+(X258="Sim"))</f>
        <v/>
      </c>
      <c r="AB258" s="5">
        <f>IF(AA258="","",IF(AA258&gt;0,"Sim","Não"))</f>
        <v/>
      </c>
      <c r="AC258" s="3" t="n"/>
      <c r="AD258" s="3" t="n"/>
    </row>
    <row r="259">
      <c r="A259" s="3" t="n"/>
      <c r="B259" s="3" t="n"/>
      <c r="C259" s="4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5">
        <f>IF(H259&lt;&gt;"",H259,IF(AND(I259&lt;&gt;"",J259&lt;&gt;""),ROUND(I259*TAN(RADIANS(J259))+IF(K259="",1.6,K259),2),""))</f>
        <v/>
      </c>
      <c r="M259" s="5">
        <f>IF(D259="","",IFERROR(IF(VLOOKUP(D259,Referencia!$A$2:$B$5,2,FALSE)="","",VLOOKUP(D259,Referencia!$A$2:$B$5,2,FALSE)),""))</f>
        <v/>
      </c>
      <c r="N259" s="5">
        <f>IF(OR(L259="",M259=""),"",IF(L259&gt;=M259,"C","NC"))</f>
        <v/>
      </c>
      <c r="O259" s="3" t="n"/>
      <c r="P259" s="3" t="n"/>
      <c r="Q259" s="5">
        <f>IF(OR(O259="",P259=""),"",ROUND(O259-P259,2))</f>
        <v/>
      </c>
      <c r="R259" s="5">
        <f>IF(Q259="","",IF(Q259&gt;=Referencia!$B$8,"C","NC"))</f>
        <v/>
      </c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5">
        <f>IF(F259="","",(N259="NC")+(R259="NC")+(S259="Não")+(S259="Parcial")+(T259="Sim")+(U259="Sim")+(V259="Sim")+(W259="Sim")+(X259="Sim"))</f>
        <v/>
      </c>
      <c r="AB259" s="5">
        <f>IF(AA259="","",IF(AA259&gt;0,"Sim","Não"))</f>
        <v/>
      </c>
      <c r="AC259" s="3" t="n"/>
      <c r="AD259" s="3" t="n"/>
    </row>
    <row r="260">
      <c r="A260" s="3" t="n"/>
      <c r="B260" s="3" t="n"/>
      <c r="C260" s="4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5">
        <f>IF(H260&lt;&gt;"",H260,IF(AND(I260&lt;&gt;"",J260&lt;&gt;""),ROUND(I260*TAN(RADIANS(J260))+IF(K260="",1.6,K260),2),""))</f>
        <v/>
      </c>
      <c r="M260" s="5">
        <f>IF(D260="","",IFERROR(IF(VLOOKUP(D260,Referencia!$A$2:$B$5,2,FALSE)="","",VLOOKUP(D260,Referencia!$A$2:$B$5,2,FALSE)),""))</f>
        <v/>
      </c>
      <c r="N260" s="5">
        <f>IF(OR(L260="",M260=""),"",IF(L260&gt;=M260,"C","NC"))</f>
        <v/>
      </c>
      <c r="O260" s="3" t="n"/>
      <c r="P260" s="3" t="n"/>
      <c r="Q260" s="5">
        <f>IF(OR(O260="",P260=""),"",ROUND(O260-P260,2))</f>
        <v/>
      </c>
      <c r="R260" s="5">
        <f>IF(Q260="","",IF(Q260&gt;=Referencia!$B$8,"C","NC"))</f>
        <v/>
      </c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5">
        <f>IF(F260="","",(N260="NC")+(R260="NC")+(S260="Não")+(S260="Parcial")+(T260="Sim")+(U260="Sim")+(V260="Sim")+(W260="Sim")+(X260="Sim"))</f>
        <v/>
      </c>
      <c r="AB260" s="5">
        <f>IF(AA260="","",IF(AA260&gt;0,"Sim","Não"))</f>
        <v/>
      </c>
      <c r="AC260" s="3" t="n"/>
      <c r="AD260" s="3" t="n"/>
    </row>
    <row r="261">
      <c r="A261" s="3" t="n"/>
      <c r="B261" s="3" t="n"/>
      <c r="C261" s="4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5">
        <f>IF(H261&lt;&gt;"",H261,IF(AND(I261&lt;&gt;"",J261&lt;&gt;""),ROUND(I261*TAN(RADIANS(J261))+IF(K261="",1.6,K261),2),""))</f>
        <v/>
      </c>
      <c r="M261" s="5">
        <f>IF(D261="","",IFERROR(IF(VLOOKUP(D261,Referencia!$A$2:$B$5,2,FALSE)="","",VLOOKUP(D261,Referencia!$A$2:$B$5,2,FALSE)),""))</f>
        <v/>
      </c>
      <c r="N261" s="5">
        <f>IF(OR(L261="",M261=""),"",IF(L261&gt;=M261,"C","NC"))</f>
        <v/>
      </c>
      <c r="O261" s="3" t="n"/>
      <c r="P261" s="3" t="n"/>
      <c r="Q261" s="5">
        <f>IF(OR(O261="",P261=""),"",ROUND(O261-P261,2))</f>
        <v/>
      </c>
      <c r="R261" s="5">
        <f>IF(Q261="","",IF(Q261&gt;=Referencia!$B$8,"C","NC"))</f>
        <v/>
      </c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5">
        <f>IF(F261="","",(N261="NC")+(R261="NC")+(S261="Não")+(S261="Parcial")+(T261="Sim")+(U261="Sim")+(V261="Sim")+(W261="Sim")+(X261="Sim"))</f>
        <v/>
      </c>
      <c r="AB261" s="5">
        <f>IF(AA261="","",IF(AA261&gt;0,"Sim","Não"))</f>
        <v/>
      </c>
      <c r="AC261" s="3" t="n"/>
      <c r="AD261" s="3" t="n"/>
    </row>
    <row r="262">
      <c r="A262" s="3" t="n"/>
      <c r="B262" s="3" t="n"/>
      <c r="C262" s="4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5">
        <f>IF(H262&lt;&gt;"",H262,IF(AND(I262&lt;&gt;"",J262&lt;&gt;""),ROUND(I262*TAN(RADIANS(J262))+IF(K262="",1.6,K262),2),""))</f>
        <v/>
      </c>
      <c r="M262" s="5">
        <f>IF(D262="","",IFERROR(IF(VLOOKUP(D262,Referencia!$A$2:$B$5,2,FALSE)="","",VLOOKUP(D262,Referencia!$A$2:$B$5,2,FALSE)),""))</f>
        <v/>
      </c>
      <c r="N262" s="5">
        <f>IF(OR(L262="",M262=""),"",IF(L262&gt;=M262,"C","NC"))</f>
        <v/>
      </c>
      <c r="O262" s="3" t="n"/>
      <c r="P262" s="3" t="n"/>
      <c r="Q262" s="5">
        <f>IF(OR(O262="",P262=""),"",ROUND(O262-P262,2))</f>
        <v/>
      </c>
      <c r="R262" s="5">
        <f>IF(Q262="","",IF(Q262&gt;=Referencia!$B$8,"C","NC"))</f>
        <v/>
      </c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5">
        <f>IF(F262="","",(N262="NC")+(R262="NC")+(S262="Não")+(S262="Parcial")+(T262="Sim")+(U262="Sim")+(V262="Sim")+(W262="Sim")+(X262="Sim"))</f>
        <v/>
      </c>
      <c r="AB262" s="5">
        <f>IF(AA262="","",IF(AA262&gt;0,"Sim","Não"))</f>
        <v/>
      </c>
      <c r="AC262" s="3" t="n"/>
      <c r="AD262" s="3" t="n"/>
    </row>
    <row r="263">
      <c r="A263" s="3" t="n"/>
      <c r="B263" s="3" t="n"/>
      <c r="C263" s="4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5">
        <f>IF(H263&lt;&gt;"",H263,IF(AND(I263&lt;&gt;"",J263&lt;&gt;""),ROUND(I263*TAN(RADIANS(J263))+IF(K263="",1.6,K263),2),""))</f>
        <v/>
      </c>
      <c r="M263" s="5">
        <f>IF(D263="","",IFERROR(IF(VLOOKUP(D263,Referencia!$A$2:$B$5,2,FALSE)="","",VLOOKUP(D263,Referencia!$A$2:$B$5,2,FALSE)),""))</f>
        <v/>
      </c>
      <c r="N263" s="5">
        <f>IF(OR(L263="",M263=""),"",IF(L263&gt;=M263,"C","NC"))</f>
        <v/>
      </c>
      <c r="O263" s="3" t="n"/>
      <c r="P263" s="3" t="n"/>
      <c r="Q263" s="5">
        <f>IF(OR(O263="",P263=""),"",ROUND(O263-P263,2))</f>
        <v/>
      </c>
      <c r="R263" s="5">
        <f>IF(Q263="","",IF(Q263&gt;=Referencia!$B$8,"C","NC"))</f>
        <v/>
      </c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5">
        <f>IF(F263="","",(N263="NC")+(R263="NC")+(S263="Não")+(S263="Parcial")+(T263="Sim")+(U263="Sim")+(V263="Sim")+(W263="Sim")+(X263="Sim"))</f>
        <v/>
      </c>
      <c r="AB263" s="5">
        <f>IF(AA263="","",IF(AA263&gt;0,"Sim","Não"))</f>
        <v/>
      </c>
      <c r="AC263" s="3" t="n"/>
      <c r="AD263" s="3" t="n"/>
    </row>
    <row r="264">
      <c r="A264" s="3" t="n"/>
      <c r="B264" s="3" t="n"/>
      <c r="C264" s="4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5">
        <f>IF(H264&lt;&gt;"",H264,IF(AND(I264&lt;&gt;"",J264&lt;&gt;""),ROUND(I264*TAN(RADIANS(J264))+IF(K264="",1.6,K264),2),""))</f>
        <v/>
      </c>
      <c r="M264" s="5">
        <f>IF(D264="","",IFERROR(IF(VLOOKUP(D264,Referencia!$A$2:$B$5,2,FALSE)="","",VLOOKUP(D264,Referencia!$A$2:$B$5,2,FALSE)),""))</f>
        <v/>
      </c>
      <c r="N264" s="5">
        <f>IF(OR(L264="",M264=""),"",IF(L264&gt;=M264,"C","NC"))</f>
        <v/>
      </c>
      <c r="O264" s="3" t="n"/>
      <c r="P264" s="3" t="n"/>
      <c r="Q264" s="5">
        <f>IF(OR(O264="",P264=""),"",ROUND(O264-P264,2))</f>
        <v/>
      </c>
      <c r="R264" s="5">
        <f>IF(Q264="","",IF(Q264&gt;=Referencia!$B$8,"C","NC"))</f>
        <v/>
      </c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5">
        <f>IF(F264="","",(N264="NC")+(R264="NC")+(S264="Não")+(S264="Parcial")+(T264="Sim")+(U264="Sim")+(V264="Sim")+(W264="Sim")+(X264="Sim"))</f>
        <v/>
      </c>
      <c r="AB264" s="5">
        <f>IF(AA264="","",IF(AA264&gt;0,"Sim","Não"))</f>
        <v/>
      </c>
      <c r="AC264" s="3" t="n"/>
      <c r="AD264" s="3" t="n"/>
    </row>
    <row r="265">
      <c r="A265" s="3" t="n"/>
      <c r="B265" s="3" t="n"/>
      <c r="C265" s="4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5">
        <f>IF(H265&lt;&gt;"",H265,IF(AND(I265&lt;&gt;"",J265&lt;&gt;""),ROUND(I265*TAN(RADIANS(J265))+IF(K265="",1.6,K265),2),""))</f>
        <v/>
      </c>
      <c r="M265" s="5">
        <f>IF(D265="","",IFERROR(IF(VLOOKUP(D265,Referencia!$A$2:$B$5,2,FALSE)="","",VLOOKUP(D265,Referencia!$A$2:$B$5,2,FALSE)),""))</f>
        <v/>
      </c>
      <c r="N265" s="5">
        <f>IF(OR(L265="",M265=""),"",IF(L265&gt;=M265,"C","NC"))</f>
        <v/>
      </c>
      <c r="O265" s="3" t="n"/>
      <c r="P265" s="3" t="n"/>
      <c r="Q265" s="5">
        <f>IF(OR(O265="",P265=""),"",ROUND(O265-P265,2))</f>
        <v/>
      </c>
      <c r="R265" s="5">
        <f>IF(Q265="","",IF(Q265&gt;=Referencia!$B$8,"C","NC"))</f>
        <v/>
      </c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5">
        <f>IF(F265="","",(N265="NC")+(R265="NC")+(S265="Não")+(S265="Parcial")+(T265="Sim")+(U265="Sim")+(V265="Sim")+(W265="Sim")+(X265="Sim"))</f>
        <v/>
      </c>
      <c r="AB265" s="5">
        <f>IF(AA265="","",IF(AA265&gt;0,"Sim","Não"))</f>
        <v/>
      </c>
      <c r="AC265" s="3" t="n"/>
      <c r="AD265" s="3" t="n"/>
    </row>
    <row r="266">
      <c r="A266" s="3" t="n"/>
      <c r="B266" s="3" t="n"/>
      <c r="C266" s="4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5">
        <f>IF(H266&lt;&gt;"",H266,IF(AND(I266&lt;&gt;"",J266&lt;&gt;""),ROUND(I266*TAN(RADIANS(J266))+IF(K266="",1.6,K266),2),""))</f>
        <v/>
      </c>
      <c r="M266" s="5">
        <f>IF(D266="","",IFERROR(IF(VLOOKUP(D266,Referencia!$A$2:$B$5,2,FALSE)="","",VLOOKUP(D266,Referencia!$A$2:$B$5,2,FALSE)),""))</f>
        <v/>
      </c>
      <c r="N266" s="5">
        <f>IF(OR(L266="",M266=""),"",IF(L266&gt;=M266,"C","NC"))</f>
        <v/>
      </c>
      <c r="O266" s="3" t="n"/>
      <c r="P266" s="3" t="n"/>
      <c r="Q266" s="5">
        <f>IF(OR(O266="",P266=""),"",ROUND(O266-P266,2))</f>
        <v/>
      </c>
      <c r="R266" s="5">
        <f>IF(Q266="","",IF(Q266&gt;=Referencia!$B$8,"C","NC"))</f>
        <v/>
      </c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5">
        <f>IF(F266="","",(N266="NC")+(R266="NC")+(S266="Não")+(S266="Parcial")+(T266="Sim")+(U266="Sim")+(V266="Sim")+(W266="Sim")+(X266="Sim"))</f>
        <v/>
      </c>
      <c r="AB266" s="5">
        <f>IF(AA266="","",IF(AA266&gt;0,"Sim","Não"))</f>
        <v/>
      </c>
      <c r="AC266" s="3" t="n"/>
      <c r="AD266" s="3" t="n"/>
    </row>
    <row r="267">
      <c r="A267" s="3" t="n"/>
      <c r="B267" s="3" t="n"/>
      <c r="C267" s="4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5">
        <f>IF(H267&lt;&gt;"",H267,IF(AND(I267&lt;&gt;"",J267&lt;&gt;""),ROUND(I267*TAN(RADIANS(J267))+IF(K267="",1.6,K267),2),""))</f>
        <v/>
      </c>
      <c r="M267" s="5">
        <f>IF(D267="","",IFERROR(IF(VLOOKUP(D267,Referencia!$A$2:$B$5,2,FALSE)="","",VLOOKUP(D267,Referencia!$A$2:$B$5,2,FALSE)),""))</f>
        <v/>
      </c>
      <c r="N267" s="5">
        <f>IF(OR(L267="",M267=""),"",IF(L267&gt;=M267,"C","NC"))</f>
        <v/>
      </c>
      <c r="O267" s="3" t="n"/>
      <c r="P267" s="3" t="n"/>
      <c r="Q267" s="5">
        <f>IF(OR(O267="",P267=""),"",ROUND(O267-P267,2))</f>
        <v/>
      </c>
      <c r="R267" s="5">
        <f>IF(Q267="","",IF(Q267&gt;=Referencia!$B$8,"C","NC"))</f>
        <v/>
      </c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5">
        <f>IF(F267="","",(N267="NC")+(R267="NC")+(S267="Não")+(S267="Parcial")+(T267="Sim")+(U267="Sim")+(V267="Sim")+(W267="Sim")+(X267="Sim"))</f>
        <v/>
      </c>
      <c r="AB267" s="5">
        <f>IF(AA267="","",IF(AA267&gt;0,"Sim","Não"))</f>
        <v/>
      </c>
      <c r="AC267" s="3" t="n"/>
      <c r="AD267" s="3" t="n"/>
    </row>
    <row r="268">
      <c r="A268" s="3" t="n"/>
      <c r="B268" s="3" t="n"/>
      <c r="C268" s="4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5">
        <f>IF(H268&lt;&gt;"",H268,IF(AND(I268&lt;&gt;"",J268&lt;&gt;""),ROUND(I268*TAN(RADIANS(J268))+IF(K268="",1.6,K268),2),""))</f>
        <v/>
      </c>
      <c r="M268" s="5">
        <f>IF(D268="","",IFERROR(IF(VLOOKUP(D268,Referencia!$A$2:$B$5,2,FALSE)="","",VLOOKUP(D268,Referencia!$A$2:$B$5,2,FALSE)),""))</f>
        <v/>
      </c>
      <c r="N268" s="5">
        <f>IF(OR(L268="",M268=""),"",IF(L268&gt;=M268,"C","NC"))</f>
        <v/>
      </c>
      <c r="O268" s="3" t="n"/>
      <c r="P268" s="3" t="n"/>
      <c r="Q268" s="5">
        <f>IF(OR(O268="",P268=""),"",ROUND(O268-P268,2))</f>
        <v/>
      </c>
      <c r="R268" s="5">
        <f>IF(Q268="","",IF(Q268&gt;=Referencia!$B$8,"C","NC"))</f>
        <v/>
      </c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5">
        <f>IF(F268="","",(N268="NC")+(R268="NC")+(S268="Não")+(S268="Parcial")+(T268="Sim")+(U268="Sim")+(V268="Sim")+(W268="Sim")+(X268="Sim"))</f>
        <v/>
      </c>
      <c r="AB268" s="5">
        <f>IF(AA268="","",IF(AA268&gt;0,"Sim","Não"))</f>
        <v/>
      </c>
      <c r="AC268" s="3" t="n"/>
      <c r="AD268" s="3" t="n"/>
    </row>
    <row r="269">
      <c r="A269" s="3" t="n"/>
      <c r="B269" s="3" t="n"/>
      <c r="C269" s="4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5">
        <f>IF(H269&lt;&gt;"",H269,IF(AND(I269&lt;&gt;"",J269&lt;&gt;""),ROUND(I269*TAN(RADIANS(J269))+IF(K269="",1.6,K269),2),""))</f>
        <v/>
      </c>
      <c r="M269" s="5">
        <f>IF(D269="","",IFERROR(IF(VLOOKUP(D269,Referencia!$A$2:$B$5,2,FALSE)="","",VLOOKUP(D269,Referencia!$A$2:$B$5,2,FALSE)),""))</f>
        <v/>
      </c>
      <c r="N269" s="5">
        <f>IF(OR(L269="",M269=""),"",IF(L269&gt;=M269,"C","NC"))</f>
        <v/>
      </c>
      <c r="O269" s="3" t="n"/>
      <c r="P269" s="3" t="n"/>
      <c r="Q269" s="5">
        <f>IF(OR(O269="",P269=""),"",ROUND(O269-P269,2))</f>
        <v/>
      </c>
      <c r="R269" s="5">
        <f>IF(Q269="","",IF(Q269&gt;=Referencia!$B$8,"C","NC"))</f>
        <v/>
      </c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5">
        <f>IF(F269="","",(N269="NC")+(R269="NC")+(S269="Não")+(S269="Parcial")+(T269="Sim")+(U269="Sim")+(V269="Sim")+(W269="Sim")+(X269="Sim"))</f>
        <v/>
      </c>
      <c r="AB269" s="5">
        <f>IF(AA269="","",IF(AA269&gt;0,"Sim","Não"))</f>
        <v/>
      </c>
      <c r="AC269" s="3" t="n"/>
      <c r="AD269" s="3" t="n"/>
    </row>
    <row r="270">
      <c r="A270" s="3" t="n"/>
      <c r="B270" s="3" t="n"/>
      <c r="C270" s="4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5">
        <f>IF(H270&lt;&gt;"",H270,IF(AND(I270&lt;&gt;"",J270&lt;&gt;""),ROUND(I270*TAN(RADIANS(J270))+IF(K270="",1.6,K270),2),""))</f>
        <v/>
      </c>
      <c r="M270" s="5">
        <f>IF(D270="","",IFERROR(IF(VLOOKUP(D270,Referencia!$A$2:$B$5,2,FALSE)="","",VLOOKUP(D270,Referencia!$A$2:$B$5,2,FALSE)),""))</f>
        <v/>
      </c>
      <c r="N270" s="5">
        <f>IF(OR(L270="",M270=""),"",IF(L270&gt;=M270,"C","NC"))</f>
        <v/>
      </c>
      <c r="O270" s="3" t="n"/>
      <c r="P270" s="3" t="n"/>
      <c r="Q270" s="5">
        <f>IF(OR(O270="",P270=""),"",ROUND(O270-P270,2))</f>
        <v/>
      </c>
      <c r="R270" s="5">
        <f>IF(Q270="","",IF(Q270&gt;=Referencia!$B$8,"C","NC"))</f>
        <v/>
      </c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5">
        <f>IF(F270="","",(N270="NC")+(R270="NC")+(S270="Não")+(S270="Parcial")+(T270="Sim")+(U270="Sim")+(V270="Sim")+(W270="Sim")+(X270="Sim"))</f>
        <v/>
      </c>
      <c r="AB270" s="5">
        <f>IF(AA270="","",IF(AA270&gt;0,"Sim","Não"))</f>
        <v/>
      </c>
      <c r="AC270" s="3" t="n"/>
      <c r="AD270" s="3" t="n"/>
    </row>
    <row r="271">
      <c r="A271" s="3" t="n"/>
      <c r="B271" s="3" t="n"/>
      <c r="C271" s="4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5">
        <f>IF(H271&lt;&gt;"",H271,IF(AND(I271&lt;&gt;"",J271&lt;&gt;""),ROUND(I271*TAN(RADIANS(J271))+IF(K271="",1.6,K271),2),""))</f>
        <v/>
      </c>
      <c r="M271" s="5">
        <f>IF(D271="","",IFERROR(IF(VLOOKUP(D271,Referencia!$A$2:$B$5,2,FALSE)="","",VLOOKUP(D271,Referencia!$A$2:$B$5,2,FALSE)),""))</f>
        <v/>
      </c>
      <c r="N271" s="5">
        <f>IF(OR(L271="",M271=""),"",IF(L271&gt;=M271,"C","NC"))</f>
        <v/>
      </c>
      <c r="O271" s="3" t="n"/>
      <c r="P271" s="3" t="n"/>
      <c r="Q271" s="5">
        <f>IF(OR(O271="",P271=""),"",ROUND(O271-P271,2))</f>
        <v/>
      </c>
      <c r="R271" s="5">
        <f>IF(Q271="","",IF(Q271&gt;=Referencia!$B$8,"C","NC"))</f>
        <v/>
      </c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5">
        <f>IF(F271="","",(N271="NC")+(R271="NC")+(S271="Não")+(S271="Parcial")+(T271="Sim")+(U271="Sim")+(V271="Sim")+(W271="Sim")+(X271="Sim"))</f>
        <v/>
      </c>
      <c r="AB271" s="5">
        <f>IF(AA271="","",IF(AA271&gt;0,"Sim","Não"))</f>
        <v/>
      </c>
      <c r="AC271" s="3" t="n"/>
      <c r="AD271" s="3" t="n"/>
    </row>
    <row r="272">
      <c r="A272" s="3" t="n"/>
      <c r="B272" s="3" t="n"/>
      <c r="C272" s="4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5">
        <f>IF(H272&lt;&gt;"",H272,IF(AND(I272&lt;&gt;"",J272&lt;&gt;""),ROUND(I272*TAN(RADIANS(J272))+IF(K272="",1.6,K272),2),""))</f>
        <v/>
      </c>
      <c r="M272" s="5">
        <f>IF(D272="","",IFERROR(IF(VLOOKUP(D272,Referencia!$A$2:$B$5,2,FALSE)="","",VLOOKUP(D272,Referencia!$A$2:$B$5,2,FALSE)),""))</f>
        <v/>
      </c>
      <c r="N272" s="5">
        <f>IF(OR(L272="",M272=""),"",IF(L272&gt;=M272,"C","NC"))</f>
        <v/>
      </c>
      <c r="O272" s="3" t="n"/>
      <c r="P272" s="3" t="n"/>
      <c r="Q272" s="5">
        <f>IF(OR(O272="",P272=""),"",ROUND(O272-P272,2))</f>
        <v/>
      </c>
      <c r="R272" s="5">
        <f>IF(Q272="","",IF(Q272&gt;=Referencia!$B$8,"C","NC"))</f>
        <v/>
      </c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5">
        <f>IF(F272="","",(N272="NC")+(R272="NC")+(S272="Não")+(S272="Parcial")+(T272="Sim")+(U272="Sim")+(V272="Sim")+(W272="Sim")+(X272="Sim"))</f>
        <v/>
      </c>
      <c r="AB272" s="5">
        <f>IF(AA272="","",IF(AA272&gt;0,"Sim","Não"))</f>
        <v/>
      </c>
      <c r="AC272" s="3" t="n"/>
      <c r="AD272" s="3" t="n"/>
    </row>
    <row r="273">
      <c r="A273" s="3" t="n"/>
      <c r="B273" s="3" t="n"/>
      <c r="C273" s="4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5">
        <f>IF(H273&lt;&gt;"",H273,IF(AND(I273&lt;&gt;"",J273&lt;&gt;""),ROUND(I273*TAN(RADIANS(J273))+IF(K273="",1.6,K273),2),""))</f>
        <v/>
      </c>
      <c r="M273" s="5">
        <f>IF(D273="","",IFERROR(IF(VLOOKUP(D273,Referencia!$A$2:$B$5,2,FALSE)="","",VLOOKUP(D273,Referencia!$A$2:$B$5,2,FALSE)),""))</f>
        <v/>
      </c>
      <c r="N273" s="5">
        <f>IF(OR(L273="",M273=""),"",IF(L273&gt;=M273,"C","NC"))</f>
        <v/>
      </c>
      <c r="O273" s="3" t="n"/>
      <c r="P273" s="3" t="n"/>
      <c r="Q273" s="5">
        <f>IF(OR(O273="",P273=""),"",ROUND(O273-P273,2))</f>
        <v/>
      </c>
      <c r="R273" s="5">
        <f>IF(Q273="","",IF(Q273&gt;=Referencia!$B$8,"C","NC"))</f>
        <v/>
      </c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5">
        <f>IF(F273="","",(N273="NC")+(R273="NC")+(S273="Não")+(S273="Parcial")+(T273="Sim")+(U273="Sim")+(V273="Sim")+(W273="Sim")+(X273="Sim"))</f>
        <v/>
      </c>
      <c r="AB273" s="5">
        <f>IF(AA273="","",IF(AA273&gt;0,"Sim","Não"))</f>
        <v/>
      </c>
      <c r="AC273" s="3" t="n"/>
      <c r="AD273" s="3" t="n"/>
    </row>
    <row r="274">
      <c r="A274" s="3" t="n"/>
      <c r="B274" s="3" t="n"/>
      <c r="C274" s="4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5">
        <f>IF(H274&lt;&gt;"",H274,IF(AND(I274&lt;&gt;"",J274&lt;&gt;""),ROUND(I274*TAN(RADIANS(J274))+IF(K274="",1.6,K274),2),""))</f>
        <v/>
      </c>
      <c r="M274" s="5">
        <f>IF(D274="","",IFERROR(IF(VLOOKUP(D274,Referencia!$A$2:$B$5,2,FALSE)="","",VLOOKUP(D274,Referencia!$A$2:$B$5,2,FALSE)),""))</f>
        <v/>
      </c>
      <c r="N274" s="5">
        <f>IF(OR(L274="",M274=""),"",IF(L274&gt;=M274,"C","NC"))</f>
        <v/>
      </c>
      <c r="O274" s="3" t="n"/>
      <c r="P274" s="3" t="n"/>
      <c r="Q274" s="5">
        <f>IF(OR(O274="",P274=""),"",ROUND(O274-P274,2))</f>
        <v/>
      </c>
      <c r="R274" s="5">
        <f>IF(Q274="","",IF(Q274&gt;=Referencia!$B$8,"C","NC"))</f>
        <v/>
      </c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5">
        <f>IF(F274="","",(N274="NC")+(R274="NC")+(S274="Não")+(S274="Parcial")+(T274="Sim")+(U274="Sim")+(V274="Sim")+(W274="Sim")+(X274="Sim"))</f>
        <v/>
      </c>
      <c r="AB274" s="5">
        <f>IF(AA274="","",IF(AA274&gt;0,"Sim","Não"))</f>
        <v/>
      </c>
      <c r="AC274" s="3" t="n"/>
      <c r="AD274" s="3" t="n"/>
    </row>
    <row r="275">
      <c r="A275" s="3" t="n"/>
      <c r="B275" s="3" t="n"/>
      <c r="C275" s="4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5">
        <f>IF(H275&lt;&gt;"",H275,IF(AND(I275&lt;&gt;"",J275&lt;&gt;""),ROUND(I275*TAN(RADIANS(J275))+IF(K275="",1.6,K275),2),""))</f>
        <v/>
      </c>
      <c r="M275" s="5">
        <f>IF(D275="","",IFERROR(IF(VLOOKUP(D275,Referencia!$A$2:$B$5,2,FALSE)="","",VLOOKUP(D275,Referencia!$A$2:$B$5,2,FALSE)),""))</f>
        <v/>
      </c>
      <c r="N275" s="5">
        <f>IF(OR(L275="",M275=""),"",IF(L275&gt;=M275,"C","NC"))</f>
        <v/>
      </c>
      <c r="O275" s="3" t="n"/>
      <c r="P275" s="3" t="n"/>
      <c r="Q275" s="5">
        <f>IF(OR(O275="",P275=""),"",ROUND(O275-P275,2))</f>
        <v/>
      </c>
      <c r="R275" s="5">
        <f>IF(Q275="","",IF(Q275&gt;=Referencia!$B$8,"C","NC"))</f>
        <v/>
      </c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5">
        <f>IF(F275="","",(N275="NC")+(R275="NC")+(S275="Não")+(S275="Parcial")+(T275="Sim")+(U275="Sim")+(V275="Sim")+(W275="Sim")+(X275="Sim"))</f>
        <v/>
      </c>
      <c r="AB275" s="5">
        <f>IF(AA275="","",IF(AA275&gt;0,"Sim","Não"))</f>
        <v/>
      </c>
      <c r="AC275" s="3" t="n"/>
      <c r="AD275" s="3" t="n"/>
    </row>
    <row r="276">
      <c r="A276" s="3" t="n"/>
      <c r="B276" s="3" t="n"/>
      <c r="C276" s="4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5">
        <f>IF(H276&lt;&gt;"",H276,IF(AND(I276&lt;&gt;"",J276&lt;&gt;""),ROUND(I276*TAN(RADIANS(J276))+IF(K276="",1.6,K276),2),""))</f>
        <v/>
      </c>
      <c r="M276" s="5">
        <f>IF(D276="","",IFERROR(IF(VLOOKUP(D276,Referencia!$A$2:$B$5,2,FALSE)="","",VLOOKUP(D276,Referencia!$A$2:$B$5,2,FALSE)),""))</f>
        <v/>
      </c>
      <c r="N276" s="5">
        <f>IF(OR(L276="",M276=""),"",IF(L276&gt;=M276,"C","NC"))</f>
        <v/>
      </c>
      <c r="O276" s="3" t="n"/>
      <c r="P276" s="3" t="n"/>
      <c r="Q276" s="5">
        <f>IF(OR(O276="",P276=""),"",ROUND(O276-P276,2))</f>
        <v/>
      </c>
      <c r="R276" s="5">
        <f>IF(Q276="","",IF(Q276&gt;=Referencia!$B$8,"C","NC"))</f>
        <v/>
      </c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5">
        <f>IF(F276="","",(N276="NC")+(R276="NC")+(S276="Não")+(S276="Parcial")+(T276="Sim")+(U276="Sim")+(V276="Sim")+(W276="Sim")+(X276="Sim"))</f>
        <v/>
      </c>
      <c r="AB276" s="5">
        <f>IF(AA276="","",IF(AA276&gt;0,"Sim","Não"))</f>
        <v/>
      </c>
      <c r="AC276" s="3" t="n"/>
      <c r="AD276" s="3" t="n"/>
    </row>
    <row r="277">
      <c r="A277" s="3" t="n"/>
      <c r="B277" s="3" t="n"/>
      <c r="C277" s="4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5">
        <f>IF(H277&lt;&gt;"",H277,IF(AND(I277&lt;&gt;"",J277&lt;&gt;""),ROUND(I277*TAN(RADIANS(J277))+IF(K277="",1.6,K277),2),""))</f>
        <v/>
      </c>
      <c r="M277" s="5">
        <f>IF(D277="","",IFERROR(IF(VLOOKUP(D277,Referencia!$A$2:$B$5,2,FALSE)="","",VLOOKUP(D277,Referencia!$A$2:$B$5,2,FALSE)),""))</f>
        <v/>
      </c>
      <c r="N277" s="5">
        <f>IF(OR(L277="",M277=""),"",IF(L277&gt;=M277,"C","NC"))</f>
        <v/>
      </c>
      <c r="O277" s="3" t="n"/>
      <c r="P277" s="3" t="n"/>
      <c r="Q277" s="5">
        <f>IF(OR(O277="",P277=""),"",ROUND(O277-P277,2))</f>
        <v/>
      </c>
      <c r="R277" s="5">
        <f>IF(Q277="","",IF(Q277&gt;=Referencia!$B$8,"C","NC"))</f>
        <v/>
      </c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5">
        <f>IF(F277="","",(N277="NC")+(R277="NC")+(S277="Não")+(S277="Parcial")+(T277="Sim")+(U277="Sim")+(V277="Sim")+(W277="Sim")+(X277="Sim"))</f>
        <v/>
      </c>
      <c r="AB277" s="5">
        <f>IF(AA277="","",IF(AA277&gt;0,"Sim","Não"))</f>
        <v/>
      </c>
      <c r="AC277" s="3" t="n"/>
      <c r="AD277" s="3" t="n"/>
    </row>
    <row r="278">
      <c r="A278" s="3" t="n"/>
      <c r="B278" s="3" t="n"/>
      <c r="C278" s="4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5">
        <f>IF(H278&lt;&gt;"",H278,IF(AND(I278&lt;&gt;"",J278&lt;&gt;""),ROUND(I278*TAN(RADIANS(J278))+IF(K278="",1.6,K278),2),""))</f>
        <v/>
      </c>
      <c r="M278" s="5">
        <f>IF(D278="","",IFERROR(IF(VLOOKUP(D278,Referencia!$A$2:$B$5,2,FALSE)="","",VLOOKUP(D278,Referencia!$A$2:$B$5,2,FALSE)),""))</f>
        <v/>
      </c>
      <c r="N278" s="5">
        <f>IF(OR(L278="",M278=""),"",IF(L278&gt;=M278,"C","NC"))</f>
        <v/>
      </c>
      <c r="O278" s="3" t="n"/>
      <c r="P278" s="3" t="n"/>
      <c r="Q278" s="5">
        <f>IF(OR(O278="",P278=""),"",ROUND(O278-P278,2))</f>
        <v/>
      </c>
      <c r="R278" s="5">
        <f>IF(Q278="","",IF(Q278&gt;=Referencia!$B$8,"C","NC"))</f>
        <v/>
      </c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5">
        <f>IF(F278="","",(N278="NC")+(R278="NC")+(S278="Não")+(S278="Parcial")+(T278="Sim")+(U278="Sim")+(V278="Sim")+(W278="Sim")+(X278="Sim"))</f>
        <v/>
      </c>
      <c r="AB278" s="5">
        <f>IF(AA278="","",IF(AA278&gt;0,"Sim","Não"))</f>
        <v/>
      </c>
      <c r="AC278" s="3" t="n"/>
      <c r="AD278" s="3" t="n"/>
    </row>
    <row r="279">
      <c r="A279" s="3" t="n"/>
      <c r="B279" s="3" t="n"/>
      <c r="C279" s="4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5">
        <f>IF(H279&lt;&gt;"",H279,IF(AND(I279&lt;&gt;"",J279&lt;&gt;""),ROUND(I279*TAN(RADIANS(J279))+IF(K279="",1.6,K279),2),""))</f>
        <v/>
      </c>
      <c r="M279" s="5">
        <f>IF(D279="","",IFERROR(IF(VLOOKUP(D279,Referencia!$A$2:$B$5,2,FALSE)="","",VLOOKUP(D279,Referencia!$A$2:$B$5,2,FALSE)),""))</f>
        <v/>
      </c>
      <c r="N279" s="5">
        <f>IF(OR(L279="",M279=""),"",IF(L279&gt;=M279,"C","NC"))</f>
        <v/>
      </c>
      <c r="O279" s="3" t="n"/>
      <c r="P279" s="3" t="n"/>
      <c r="Q279" s="5">
        <f>IF(OR(O279="",P279=""),"",ROUND(O279-P279,2))</f>
        <v/>
      </c>
      <c r="R279" s="5">
        <f>IF(Q279="","",IF(Q279&gt;=Referencia!$B$8,"C","NC"))</f>
        <v/>
      </c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5">
        <f>IF(F279="","",(N279="NC")+(R279="NC")+(S279="Não")+(S279="Parcial")+(T279="Sim")+(U279="Sim")+(V279="Sim")+(W279="Sim")+(X279="Sim"))</f>
        <v/>
      </c>
      <c r="AB279" s="5">
        <f>IF(AA279="","",IF(AA279&gt;0,"Sim","Não"))</f>
        <v/>
      </c>
      <c r="AC279" s="3" t="n"/>
      <c r="AD279" s="3" t="n"/>
    </row>
    <row r="280">
      <c r="A280" s="3" t="n"/>
      <c r="B280" s="3" t="n"/>
      <c r="C280" s="4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5">
        <f>IF(H280&lt;&gt;"",H280,IF(AND(I280&lt;&gt;"",J280&lt;&gt;""),ROUND(I280*TAN(RADIANS(J280))+IF(K280="",1.6,K280),2),""))</f>
        <v/>
      </c>
      <c r="M280" s="5">
        <f>IF(D280="","",IFERROR(IF(VLOOKUP(D280,Referencia!$A$2:$B$5,2,FALSE)="","",VLOOKUP(D280,Referencia!$A$2:$B$5,2,FALSE)),""))</f>
        <v/>
      </c>
      <c r="N280" s="5">
        <f>IF(OR(L280="",M280=""),"",IF(L280&gt;=M280,"C","NC"))</f>
        <v/>
      </c>
      <c r="O280" s="3" t="n"/>
      <c r="P280" s="3" t="n"/>
      <c r="Q280" s="5">
        <f>IF(OR(O280="",P280=""),"",ROUND(O280-P280,2))</f>
        <v/>
      </c>
      <c r="R280" s="5">
        <f>IF(Q280="","",IF(Q280&gt;=Referencia!$B$8,"C","NC"))</f>
        <v/>
      </c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5">
        <f>IF(F280="","",(N280="NC")+(R280="NC")+(S280="Não")+(S280="Parcial")+(T280="Sim")+(U280="Sim")+(V280="Sim")+(W280="Sim")+(X280="Sim"))</f>
        <v/>
      </c>
      <c r="AB280" s="5">
        <f>IF(AA280="","",IF(AA280&gt;0,"Sim","Não"))</f>
        <v/>
      </c>
      <c r="AC280" s="3" t="n"/>
      <c r="AD280" s="3" t="n"/>
    </row>
    <row r="281">
      <c r="A281" s="3" t="n"/>
      <c r="B281" s="3" t="n"/>
      <c r="C281" s="4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5">
        <f>IF(H281&lt;&gt;"",H281,IF(AND(I281&lt;&gt;"",J281&lt;&gt;""),ROUND(I281*TAN(RADIANS(J281))+IF(K281="",1.6,K281),2),""))</f>
        <v/>
      </c>
      <c r="M281" s="5">
        <f>IF(D281="","",IFERROR(IF(VLOOKUP(D281,Referencia!$A$2:$B$5,2,FALSE)="","",VLOOKUP(D281,Referencia!$A$2:$B$5,2,FALSE)),""))</f>
        <v/>
      </c>
      <c r="N281" s="5">
        <f>IF(OR(L281="",M281=""),"",IF(L281&gt;=M281,"C","NC"))</f>
        <v/>
      </c>
      <c r="O281" s="3" t="n"/>
      <c r="P281" s="3" t="n"/>
      <c r="Q281" s="5">
        <f>IF(OR(O281="",P281=""),"",ROUND(O281-P281,2))</f>
        <v/>
      </c>
      <c r="R281" s="5">
        <f>IF(Q281="","",IF(Q281&gt;=Referencia!$B$8,"C","NC"))</f>
        <v/>
      </c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5">
        <f>IF(F281="","",(N281="NC")+(R281="NC")+(S281="Não")+(S281="Parcial")+(T281="Sim")+(U281="Sim")+(V281="Sim")+(W281="Sim")+(X281="Sim"))</f>
        <v/>
      </c>
      <c r="AB281" s="5">
        <f>IF(AA281="","",IF(AA281&gt;0,"Sim","Não"))</f>
        <v/>
      </c>
      <c r="AC281" s="3" t="n"/>
      <c r="AD281" s="3" t="n"/>
    </row>
    <row r="282">
      <c r="A282" s="3" t="n"/>
      <c r="B282" s="3" t="n"/>
      <c r="C282" s="4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5">
        <f>IF(H282&lt;&gt;"",H282,IF(AND(I282&lt;&gt;"",J282&lt;&gt;""),ROUND(I282*TAN(RADIANS(J282))+IF(K282="",1.6,K282),2),""))</f>
        <v/>
      </c>
      <c r="M282" s="5">
        <f>IF(D282="","",IFERROR(IF(VLOOKUP(D282,Referencia!$A$2:$B$5,2,FALSE)="","",VLOOKUP(D282,Referencia!$A$2:$B$5,2,FALSE)),""))</f>
        <v/>
      </c>
      <c r="N282" s="5">
        <f>IF(OR(L282="",M282=""),"",IF(L282&gt;=M282,"C","NC"))</f>
        <v/>
      </c>
      <c r="O282" s="3" t="n"/>
      <c r="P282" s="3" t="n"/>
      <c r="Q282" s="5">
        <f>IF(OR(O282="",P282=""),"",ROUND(O282-P282,2))</f>
        <v/>
      </c>
      <c r="R282" s="5">
        <f>IF(Q282="","",IF(Q282&gt;=Referencia!$B$8,"C","NC"))</f>
        <v/>
      </c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5">
        <f>IF(F282="","",(N282="NC")+(R282="NC")+(S282="Não")+(S282="Parcial")+(T282="Sim")+(U282="Sim")+(V282="Sim")+(W282="Sim")+(X282="Sim"))</f>
        <v/>
      </c>
      <c r="AB282" s="5">
        <f>IF(AA282="","",IF(AA282&gt;0,"Sim","Não"))</f>
        <v/>
      </c>
      <c r="AC282" s="3" t="n"/>
      <c r="AD282" s="3" t="n"/>
    </row>
    <row r="283">
      <c r="A283" s="3" t="n"/>
      <c r="B283" s="3" t="n"/>
      <c r="C283" s="4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5">
        <f>IF(H283&lt;&gt;"",H283,IF(AND(I283&lt;&gt;"",J283&lt;&gt;""),ROUND(I283*TAN(RADIANS(J283))+IF(K283="",1.6,K283),2),""))</f>
        <v/>
      </c>
      <c r="M283" s="5">
        <f>IF(D283="","",IFERROR(IF(VLOOKUP(D283,Referencia!$A$2:$B$5,2,FALSE)="","",VLOOKUP(D283,Referencia!$A$2:$B$5,2,FALSE)),""))</f>
        <v/>
      </c>
      <c r="N283" s="5">
        <f>IF(OR(L283="",M283=""),"",IF(L283&gt;=M283,"C","NC"))</f>
        <v/>
      </c>
      <c r="O283" s="3" t="n"/>
      <c r="P283" s="3" t="n"/>
      <c r="Q283" s="5">
        <f>IF(OR(O283="",P283=""),"",ROUND(O283-P283,2))</f>
        <v/>
      </c>
      <c r="R283" s="5">
        <f>IF(Q283="","",IF(Q283&gt;=Referencia!$B$8,"C","NC"))</f>
        <v/>
      </c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5">
        <f>IF(F283="","",(N283="NC")+(R283="NC")+(S283="Não")+(S283="Parcial")+(T283="Sim")+(U283="Sim")+(V283="Sim")+(W283="Sim")+(X283="Sim"))</f>
        <v/>
      </c>
      <c r="AB283" s="5">
        <f>IF(AA283="","",IF(AA283&gt;0,"Sim","Não"))</f>
        <v/>
      </c>
      <c r="AC283" s="3" t="n"/>
      <c r="AD283" s="3" t="n"/>
    </row>
    <row r="284">
      <c r="A284" s="3" t="n"/>
      <c r="B284" s="3" t="n"/>
      <c r="C284" s="4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5">
        <f>IF(H284&lt;&gt;"",H284,IF(AND(I284&lt;&gt;"",J284&lt;&gt;""),ROUND(I284*TAN(RADIANS(J284))+IF(K284="",1.6,K284),2),""))</f>
        <v/>
      </c>
      <c r="M284" s="5">
        <f>IF(D284="","",IFERROR(IF(VLOOKUP(D284,Referencia!$A$2:$B$5,2,FALSE)="","",VLOOKUP(D284,Referencia!$A$2:$B$5,2,FALSE)),""))</f>
        <v/>
      </c>
      <c r="N284" s="5">
        <f>IF(OR(L284="",M284=""),"",IF(L284&gt;=M284,"C","NC"))</f>
        <v/>
      </c>
      <c r="O284" s="3" t="n"/>
      <c r="P284" s="3" t="n"/>
      <c r="Q284" s="5">
        <f>IF(OR(O284="",P284=""),"",ROUND(O284-P284,2))</f>
        <v/>
      </c>
      <c r="R284" s="5">
        <f>IF(Q284="","",IF(Q284&gt;=Referencia!$B$8,"C","NC"))</f>
        <v/>
      </c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5">
        <f>IF(F284="","",(N284="NC")+(R284="NC")+(S284="Não")+(S284="Parcial")+(T284="Sim")+(U284="Sim")+(V284="Sim")+(W284="Sim")+(X284="Sim"))</f>
        <v/>
      </c>
      <c r="AB284" s="5">
        <f>IF(AA284="","",IF(AA284&gt;0,"Sim","Não"))</f>
        <v/>
      </c>
      <c r="AC284" s="3" t="n"/>
      <c r="AD284" s="3" t="n"/>
    </row>
    <row r="285">
      <c r="A285" s="3" t="n"/>
      <c r="B285" s="3" t="n"/>
      <c r="C285" s="4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5">
        <f>IF(H285&lt;&gt;"",H285,IF(AND(I285&lt;&gt;"",J285&lt;&gt;""),ROUND(I285*TAN(RADIANS(J285))+IF(K285="",1.6,K285),2),""))</f>
        <v/>
      </c>
      <c r="M285" s="5">
        <f>IF(D285="","",IFERROR(IF(VLOOKUP(D285,Referencia!$A$2:$B$5,2,FALSE)="","",VLOOKUP(D285,Referencia!$A$2:$B$5,2,FALSE)),""))</f>
        <v/>
      </c>
      <c r="N285" s="5">
        <f>IF(OR(L285="",M285=""),"",IF(L285&gt;=M285,"C","NC"))</f>
        <v/>
      </c>
      <c r="O285" s="3" t="n"/>
      <c r="P285" s="3" t="n"/>
      <c r="Q285" s="5">
        <f>IF(OR(O285="",P285=""),"",ROUND(O285-P285,2))</f>
        <v/>
      </c>
      <c r="R285" s="5">
        <f>IF(Q285="","",IF(Q285&gt;=Referencia!$B$8,"C","NC"))</f>
        <v/>
      </c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5">
        <f>IF(F285="","",(N285="NC")+(R285="NC")+(S285="Não")+(S285="Parcial")+(T285="Sim")+(U285="Sim")+(V285="Sim")+(W285="Sim")+(X285="Sim"))</f>
        <v/>
      </c>
      <c r="AB285" s="5">
        <f>IF(AA285="","",IF(AA285&gt;0,"Sim","Não"))</f>
        <v/>
      </c>
      <c r="AC285" s="3" t="n"/>
      <c r="AD285" s="3" t="n"/>
    </row>
    <row r="286">
      <c r="A286" s="3" t="n"/>
      <c r="B286" s="3" t="n"/>
      <c r="C286" s="4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5">
        <f>IF(H286&lt;&gt;"",H286,IF(AND(I286&lt;&gt;"",J286&lt;&gt;""),ROUND(I286*TAN(RADIANS(J286))+IF(K286="",1.6,K286),2),""))</f>
        <v/>
      </c>
      <c r="M286" s="5">
        <f>IF(D286="","",IFERROR(IF(VLOOKUP(D286,Referencia!$A$2:$B$5,2,FALSE)="","",VLOOKUP(D286,Referencia!$A$2:$B$5,2,FALSE)),""))</f>
        <v/>
      </c>
      <c r="N286" s="5">
        <f>IF(OR(L286="",M286=""),"",IF(L286&gt;=M286,"C","NC"))</f>
        <v/>
      </c>
      <c r="O286" s="3" t="n"/>
      <c r="P286" s="3" t="n"/>
      <c r="Q286" s="5">
        <f>IF(OR(O286="",P286=""),"",ROUND(O286-P286,2))</f>
        <v/>
      </c>
      <c r="R286" s="5">
        <f>IF(Q286="","",IF(Q286&gt;=Referencia!$B$8,"C","NC"))</f>
        <v/>
      </c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5">
        <f>IF(F286="","",(N286="NC")+(R286="NC")+(S286="Não")+(S286="Parcial")+(T286="Sim")+(U286="Sim")+(V286="Sim")+(W286="Sim")+(X286="Sim"))</f>
        <v/>
      </c>
      <c r="AB286" s="5">
        <f>IF(AA286="","",IF(AA286&gt;0,"Sim","Não"))</f>
        <v/>
      </c>
      <c r="AC286" s="3" t="n"/>
      <c r="AD286" s="3" t="n"/>
    </row>
    <row r="287">
      <c r="A287" s="3" t="n"/>
      <c r="B287" s="3" t="n"/>
      <c r="C287" s="4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5">
        <f>IF(H287&lt;&gt;"",H287,IF(AND(I287&lt;&gt;"",J287&lt;&gt;""),ROUND(I287*TAN(RADIANS(J287))+IF(K287="",1.6,K287),2),""))</f>
        <v/>
      </c>
      <c r="M287" s="5">
        <f>IF(D287="","",IFERROR(IF(VLOOKUP(D287,Referencia!$A$2:$B$5,2,FALSE)="","",VLOOKUP(D287,Referencia!$A$2:$B$5,2,FALSE)),""))</f>
        <v/>
      </c>
      <c r="N287" s="5">
        <f>IF(OR(L287="",M287=""),"",IF(L287&gt;=M287,"C","NC"))</f>
        <v/>
      </c>
      <c r="O287" s="3" t="n"/>
      <c r="P287" s="3" t="n"/>
      <c r="Q287" s="5">
        <f>IF(OR(O287="",P287=""),"",ROUND(O287-P287,2))</f>
        <v/>
      </c>
      <c r="R287" s="5">
        <f>IF(Q287="","",IF(Q287&gt;=Referencia!$B$8,"C","NC"))</f>
        <v/>
      </c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5">
        <f>IF(F287="","",(N287="NC")+(R287="NC")+(S287="Não")+(S287="Parcial")+(T287="Sim")+(U287="Sim")+(V287="Sim")+(W287="Sim")+(X287="Sim"))</f>
        <v/>
      </c>
      <c r="AB287" s="5">
        <f>IF(AA287="","",IF(AA287&gt;0,"Sim","Não"))</f>
        <v/>
      </c>
      <c r="AC287" s="3" t="n"/>
      <c r="AD287" s="3" t="n"/>
    </row>
    <row r="288">
      <c r="A288" s="3" t="n"/>
      <c r="B288" s="3" t="n"/>
      <c r="C288" s="4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5">
        <f>IF(H288&lt;&gt;"",H288,IF(AND(I288&lt;&gt;"",J288&lt;&gt;""),ROUND(I288*TAN(RADIANS(J288))+IF(K288="",1.6,K288),2),""))</f>
        <v/>
      </c>
      <c r="M288" s="5">
        <f>IF(D288="","",IFERROR(IF(VLOOKUP(D288,Referencia!$A$2:$B$5,2,FALSE)="","",VLOOKUP(D288,Referencia!$A$2:$B$5,2,FALSE)),""))</f>
        <v/>
      </c>
      <c r="N288" s="5">
        <f>IF(OR(L288="",M288=""),"",IF(L288&gt;=M288,"C","NC"))</f>
        <v/>
      </c>
      <c r="O288" s="3" t="n"/>
      <c r="P288" s="3" t="n"/>
      <c r="Q288" s="5">
        <f>IF(OR(O288="",P288=""),"",ROUND(O288-P288,2))</f>
        <v/>
      </c>
      <c r="R288" s="5">
        <f>IF(Q288="","",IF(Q288&gt;=Referencia!$B$8,"C","NC"))</f>
        <v/>
      </c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5">
        <f>IF(F288="","",(N288="NC")+(R288="NC")+(S288="Não")+(S288="Parcial")+(T288="Sim")+(U288="Sim")+(V288="Sim")+(W288="Sim")+(X288="Sim"))</f>
        <v/>
      </c>
      <c r="AB288" s="5">
        <f>IF(AA288="","",IF(AA288&gt;0,"Sim","Não"))</f>
        <v/>
      </c>
      <c r="AC288" s="3" t="n"/>
      <c r="AD288" s="3" t="n"/>
    </row>
    <row r="289">
      <c r="A289" s="3" t="n"/>
      <c r="B289" s="3" t="n"/>
      <c r="C289" s="4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5">
        <f>IF(H289&lt;&gt;"",H289,IF(AND(I289&lt;&gt;"",J289&lt;&gt;""),ROUND(I289*TAN(RADIANS(J289))+IF(K289="",1.6,K289),2),""))</f>
        <v/>
      </c>
      <c r="M289" s="5">
        <f>IF(D289="","",IFERROR(IF(VLOOKUP(D289,Referencia!$A$2:$B$5,2,FALSE)="","",VLOOKUP(D289,Referencia!$A$2:$B$5,2,FALSE)),""))</f>
        <v/>
      </c>
      <c r="N289" s="5">
        <f>IF(OR(L289="",M289=""),"",IF(L289&gt;=M289,"C","NC"))</f>
        <v/>
      </c>
      <c r="O289" s="3" t="n"/>
      <c r="P289" s="3" t="n"/>
      <c r="Q289" s="5">
        <f>IF(OR(O289="",P289=""),"",ROUND(O289-P289,2))</f>
        <v/>
      </c>
      <c r="R289" s="5">
        <f>IF(Q289="","",IF(Q289&gt;=Referencia!$B$8,"C","NC"))</f>
        <v/>
      </c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5">
        <f>IF(F289="","",(N289="NC")+(R289="NC")+(S289="Não")+(S289="Parcial")+(T289="Sim")+(U289="Sim")+(V289="Sim")+(W289="Sim")+(X289="Sim"))</f>
        <v/>
      </c>
      <c r="AB289" s="5">
        <f>IF(AA289="","",IF(AA289&gt;0,"Sim","Não"))</f>
        <v/>
      </c>
      <c r="AC289" s="3" t="n"/>
      <c r="AD289" s="3" t="n"/>
    </row>
    <row r="290">
      <c r="A290" s="3" t="n"/>
      <c r="B290" s="3" t="n"/>
      <c r="C290" s="4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5">
        <f>IF(H290&lt;&gt;"",H290,IF(AND(I290&lt;&gt;"",J290&lt;&gt;""),ROUND(I290*TAN(RADIANS(J290))+IF(K290="",1.6,K290),2),""))</f>
        <v/>
      </c>
      <c r="M290" s="5">
        <f>IF(D290="","",IFERROR(IF(VLOOKUP(D290,Referencia!$A$2:$B$5,2,FALSE)="","",VLOOKUP(D290,Referencia!$A$2:$B$5,2,FALSE)),""))</f>
        <v/>
      </c>
      <c r="N290" s="5">
        <f>IF(OR(L290="",M290=""),"",IF(L290&gt;=M290,"C","NC"))</f>
        <v/>
      </c>
      <c r="O290" s="3" t="n"/>
      <c r="P290" s="3" t="n"/>
      <c r="Q290" s="5">
        <f>IF(OR(O290="",P290=""),"",ROUND(O290-P290,2))</f>
        <v/>
      </c>
      <c r="R290" s="5">
        <f>IF(Q290="","",IF(Q290&gt;=Referencia!$B$8,"C","NC"))</f>
        <v/>
      </c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5">
        <f>IF(F290="","",(N290="NC")+(R290="NC")+(S290="Não")+(S290="Parcial")+(T290="Sim")+(U290="Sim")+(V290="Sim")+(W290="Sim")+(X290="Sim"))</f>
        <v/>
      </c>
      <c r="AB290" s="5">
        <f>IF(AA290="","",IF(AA290&gt;0,"Sim","Não"))</f>
        <v/>
      </c>
      <c r="AC290" s="3" t="n"/>
      <c r="AD290" s="3" t="n"/>
    </row>
    <row r="291">
      <c r="A291" s="3" t="n"/>
      <c r="B291" s="3" t="n"/>
      <c r="C291" s="4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5">
        <f>IF(H291&lt;&gt;"",H291,IF(AND(I291&lt;&gt;"",J291&lt;&gt;""),ROUND(I291*TAN(RADIANS(J291))+IF(K291="",1.6,K291),2),""))</f>
        <v/>
      </c>
      <c r="M291" s="5">
        <f>IF(D291="","",IFERROR(IF(VLOOKUP(D291,Referencia!$A$2:$B$5,2,FALSE)="","",VLOOKUP(D291,Referencia!$A$2:$B$5,2,FALSE)),""))</f>
        <v/>
      </c>
      <c r="N291" s="5">
        <f>IF(OR(L291="",M291=""),"",IF(L291&gt;=M291,"C","NC"))</f>
        <v/>
      </c>
      <c r="O291" s="3" t="n"/>
      <c r="P291" s="3" t="n"/>
      <c r="Q291" s="5">
        <f>IF(OR(O291="",P291=""),"",ROUND(O291-P291,2))</f>
        <v/>
      </c>
      <c r="R291" s="5">
        <f>IF(Q291="","",IF(Q291&gt;=Referencia!$B$8,"C","NC"))</f>
        <v/>
      </c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5">
        <f>IF(F291="","",(N291="NC")+(R291="NC")+(S291="Não")+(S291="Parcial")+(T291="Sim")+(U291="Sim")+(V291="Sim")+(W291="Sim")+(X291="Sim"))</f>
        <v/>
      </c>
      <c r="AB291" s="5">
        <f>IF(AA291="","",IF(AA291&gt;0,"Sim","Não"))</f>
        <v/>
      </c>
      <c r="AC291" s="3" t="n"/>
      <c r="AD291" s="3" t="n"/>
    </row>
    <row r="292">
      <c r="A292" s="3" t="n"/>
      <c r="B292" s="3" t="n"/>
      <c r="C292" s="4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5">
        <f>IF(H292&lt;&gt;"",H292,IF(AND(I292&lt;&gt;"",J292&lt;&gt;""),ROUND(I292*TAN(RADIANS(J292))+IF(K292="",1.6,K292),2),""))</f>
        <v/>
      </c>
      <c r="M292" s="5">
        <f>IF(D292="","",IFERROR(IF(VLOOKUP(D292,Referencia!$A$2:$B$5,2,FALSE)="","",VLOOKUP(D292,Referencia!$A$2:$B$5,2,FALSE)),""))</f>
        <v/>
      </c>
      <c r="N292" s="5">
        <f>IF(OR(L292="",M292=""),"",IF(L292&gt;=M292,"C","NC"))</f>
        <v/>
      </c>
      <c r="O292" s="3" t="n"/>
      <c r="P292" s="3" t="n"/>
      <c r="Q292" s="5">
        <f>IF(OR(O292="",P292=""),"",ROUND(O292-P292,2))</f>
        <v/>
      </c>
      <c r="R292" s="5">
        <f>IF(Q292="","",IF(Q292&gt;=Referencia!$B$8,"C","NC"))</f>
        <v/>
      </c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5">
        <f>IF(F292="","",(N292="NC")+(R292="NC")+(S292="Não")+(S292="Parcial")+(T292="Sim")+(U292="Sim")+(V292="Sim")+(W292="Sim")+(X292="Sim"))</f>
        <v/>
      </c>
      <c r="AB292" s="5">
        <f>IF(AA292="","",IF(AA292&gt;0,"Sim","Não"))</f>
        <v/>
      </c>
      <c r="AC292" s="3" t="n"/>
      <c r="AD292" s="3" t="n"/>
    </row>
    <row r="293">
      <c r="A293" s="3" t="n"/>
      <c r="B293" s="3" t="n"/>
      <c r="C293" s="4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5">
        <f>IF(H293&lt;&gt;"",H293,IF(AND(I293&lt;&gt;"",J293&lt;&gt;""),ROUND(I293*TAN(RADIANS(J293))+IF(K293="",1.6,K293),2),""))</f>
        <v/>
      </c>
      <c r="M293" s="5">
        <f>IF(D293="","",IFERROR(IF(VLOOKUP(D293,Referencia!$A$2:$B$5,2,FALSE)="","",VLOOKUP(D293,Referencia!$A$2:$B$5,2,FALSE)),""))</f>
        <v/>
      </c>
      <c r="N293" s="5">
        <f>IF(OR(L293="",M293=""),"",IF(L293&gt;=M293,"C","NC"))</f>
        <v/>
      </c>
      <c r="O293" s="3" t="n"/>
      <c r="P293" s="3" t="n"/>
      <c r="Q293" s="5">
        <f>IF(OR(O293="",P293=""),"",ROUND(O293-P293,2))</f>
        <v/>
      </c>
      <c r="R293" s="5">
        <f>IF(Q293="","",IF(Q293&gt;=Referencia!$B$8,"C","NC"))</f>
        <v/>
      </c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5">
        <f>IF(F293="","",(N293="NC")+(R293="NC")+(S293="Não")+(S293="Parcial")+(T293="Sim")+(U293="Sim")+(V293="Sim")+(W293="Sim")+(X293="Sim"))</f>
        <v/>
      </c>
      <c r="AB293" s="5">
        <f>IF(AA293="","",IF(AA293&gt;0,"Sim","Não"))</f>
        <v/>
      </c>
      <c r="AC293" s="3" t="n"/>
      <c r="AD293" s="3" t="n"/>
    </row>
    <row r="294">
      <c r="A294" s="3" t="n"/>
      <c r="B294" s="3" t="n"/>
      <c r="C294" s="4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5">
        <f>IF(H294&lt;&gt;"",H294,IF(AND(I294&lt;&gt;"",J294&lt;&gt;""),ROUND(I294*TAN(RADIANS(J294))+IF(K294="",1.6,K294),2),""))</f>
        <v/>
      </c>
      <c r="M294" s="5">
        <f>IF(D294="","",IFERROR(IF(VLOOKUP(D294,Referencia!$A$2:$B$5,2,FALSE)="","",VLOOKUP(D294,Referencia!$A$2:$B$5,2,FALSE)),""))</f>
        <v/>
      </c>
      <c r="N294" s="5">
        <f>IF(OR(L294="",M294=""),"",IF(L294&gt;=M294,"C","NC"))</f>
        <v/>
      </c>
      <c r="O294" s="3" t="n"/>
      <c r="P294" s="3" t="n"/>
      <c r="Q294" s="5">
        <f>IF(OR(O294="",P294=""),"",ROUND(O294-P294,2))</f>
        <v/>
      </c>
      <c r="R294" s="5">
        <f>IF(Q294="","",IF(Q294&gt;=Referencia!$B$8,"C","NC"))</f>
        <v/>
      </c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5">
        <f>IF(F294="","",(N294="NC")+(R294="NC")+(S294="Não")+(S294="Parcial")+(T294="Sim")+(U294="Sim")+(V294="Sim")+(W294="Sim")+(X294="Sim"))</f>
        <v/>
      </c>
      <c r="AB294" s="5">
        <f>IF(AA294="","",IF(AA294&gt;0,"Sim","Não"))</f>
        <v/>
      </c>
      <c r="AC294" s="3" t="n"/>
      <c r="AD294" s="3" t="n"/>
    </row>
    <row r="295">
      <c r="A295" s="3" t="n"/>
      <c r="B295" s="3" t="n"/>
      <c r="C295" s="4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5">
        <f>IF(H295&lt;&gt;"",H295,IF(AND(I295&lt;&gt;"",J295&lt;&gt;""),ROUND(I295*TAN(RADIANS(J295))+IF(K295="",1.6,K295),2),""))</f>
        <v/>
      </c>
      <c r="M295" s="5">
        <f>IF(D295="","",IFERROR(IF(VLOOKUP(D295,Referencia!$A$2:$B$5,2,FALSE)="","",VLOOKUP(D295,Referencia!$A$2:$B$5,2,FALSE)),""))</f>
        <v/>
      </c>
      <c r="N295" s="5">
        <f>IF(OR(L295="",M295=""),"",IF(L295&gt;=M295,"C","NC"))</f>
        <v/>
      </c>
      <c r="O295" s="3" t="n"/>
      <c r="P295" s="3" t="n"/>
      <c r="Q295" s="5">
        <f>IF(OR(O295="",P295=""),"",ROUND(O295-P295,2))</f>
        <v/>
      </c>
      <c r="R295" s="5">
        <f>IF(Q295="","",IF(Q295&gt;=Referencia!$B$8,"C","NC"))</f>
        <v/>
      </c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5">
        <f>IF(F295="","",(N295="NC")+(R295="NC")+(S295="Não")+(S295="Parcial")+(T295="Sim")+(U295="Sim")+(V295="Sim")+(W295="Sim")+(X295="Sim"))</f>
        <v/>
      </c>
      <c r="AB295" s="5">
        <f>IF(AA295="","",IF(AA295&gt;0,"Sim","Não"))</f>
        <v/>
      </c>
      <c r="AC295" s="3" t="n"/>
      <c r="AD295" s="3" t="n"/>
    </row>
    <row r="296">
      <c r="A296" s="3" t="n"/>
      <c r="B296" s="3" t="n"/>
      <c r="C296" s="4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5">
        <f>IF(H296&lt;&gt;"",H296,IF(AND(I296&lt;&gt;"",J296&lt;&gt;""),ROUND(I296*TAN(RADIANS(J296))+IF(K296="",1.6,K296),2),""))</f>
        <v/>
      </c>
      <c r="M296" s="5">
        <f>IF(D296="","",IFERROR(IF(VLOOKUP(D296,Referencia!$A$2:$B$5,2,FALSE)="","",VLOOKUP(D296,Referencia!$A$2:$B$5,2,FALSE)),""))</f>
        <v/>
      </c>
      <c r="N296" s="5">
        <f>IF(OR(L296="",M296=""),"",IF(L296&gt;=M296,"C","NC"))</f>
        <v/>
      </c>
      <c r="O296" s="3" t="n"/>
      <c r="P296" s="3" t="n"/>
      <c r="Q296" s="5">
        <f>IF(OR(O296="",P296=""),"",ROUND(O296-P296,2))</f>
        <v/>
      </c>
      <c r="R296" s="5">
        <f>IF(Q296="","",IF(Q296&gt;=Referencia!$B$8,"C","NC"))</f>
        <v/>
      </c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5">
        <f>IF(F296="","",(N296="NC")+(R296="NC")+(S296="Não")+(S296="Parcial")+(T296="Sim")+(U296="Sim")+(V296="Sim")+(W296="Sim")+(X296="Sim"))</f>
        <v/>
      </c>
      <c r="AB296" s="5">
        <f>IF(AA296="","",IF(AA296&gt;0,"Sim","Não"))</f>
        <v/>
      </c>
      <c r="AC296" s="3" t="n"/>
      <c r="AD296" s="3" t="n"/>
    </row>
    <row r="297">
      <c r="A297" s="3" t="n"/>
      <c r="B297" s="3" t="n"/>
      <c r="C297" s="4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5">
        <f>IF(H297&lt;&gt;"",H297,IF(AND(I297&lt;&gt;"",J297&lt;&gt;""),ROUND(I297*TAN(RADIANS(J297))+IF(K297="",1.6,K297),2),""))</f>
        <v/>
      </c>
      <c r="M297" s="5">
        <f>IF(D297="","",IFERROR(IF(VLOOKUP(D297,Referencia!$A$2:$B$5,2,FALSE)="","",VLOOKUP(D297,Referencia!$A$2:$B$5,2,FALSE)),""))</f>
        <v/>
      </c>
      <c r="N297" s="5">
        <f>IF(OR(L297="",M297=""),"",IF(L297&gt;=M297,"C","NC"))</f>
        <v/>
      </c>
      <c r="O297" s="3" t="n"/>
      <c r="P297" s="3" t="n"/>
      <c r="Q297" s="5">
        <f>IF(OR(O297="",P297=""),"",ROUND(O297-P297,2))</f>
        <v/>
      </c>
      <c r="R297" s="5">
        <f>IF(Q297="","",IF(Q297&gt;=Referencia!$B$8,"C","NC"))</f>
        <v/>
      </c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5">
        <f>IF(F297="","",(N297="NC")+(R297="NC")+(S297="Não")+(S297="Parcial")+(T297="Sim")+(U297="Sim")+(V297="Sim")+(W297="Sim")+(X297="Sim"))</f>
        <v/>
      </c>
      <c r="AB297" s="5">
        <f>IF(AA297="","",IF(AA297&gt;0,"Sim","Não"))</f>
        <v/>
      </c>
      <c r="AC297" s="3" t="n"/>
      <c r="AD297" s="3" t="n"/>
    </row>
    <row r="298">
      <c r="A298" s="3" t="n"/>
      <c r="B298" s="3" t="n"/>
      <c r="C298" s="4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5">
        <f>IF(H298&lt;&gt;"",H298,IF(AND(I298&lt;&gt;"",J298&lt;&gt;""),ROUND(I298*TAN(RADIANS(J298))+IF(K298="",1.6,K298),2),""))</f>
        <v/>
      </c>
      <c r="M298" s="5">
        <f>IF(D298="","",IFERROR(IF(VLOOKUP(D298,Referencia!$A$2:$B$5,2,FALSE)="","",VLOOKUP(D298,Referencia!$A$2:$B$5,2,FALSE)),""))</f>
        <v/>
      </c>
      <c r="N298" s="5">
        <f>IF(OR(L298="",M298=""),"",IF(L298&gt;=M298,"C","NC"))</f>
        <v/>
      </c>
      <c r="O298" s="3" t="n"/>
      <c r="P298" s="3" t="n"/>
      <c r="Q298" s="5">
        <f>IF(OR(O298="",P298=""),"",ROUND(O298-P298,2))</f>
        <v/>
      </c>
      <c r="R298" s="5">
        <f>IF(Q298="","",IF(Q298&gt;=Referencia!$B$8,"C","NC"))</f>
        <v/>
      </c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5">
        <f>IF(F298="","",(N298="NC")+(R298="NC")+(S298="Não")+(S298="Parcial")+(T298="Sim")+(U298="Sim")+(V298="Sim")+(W298="Sim")+(X298="Sim"))</f>
        <v/>
      </c>
      <c r="AB298" s="5">
        <f>IF(AA298="","",IF(AA298&gt;0,"Sim","Não"))</f>
        <v/>
      </c>
      <c r="AC298" s="3" t="n"/>
      <c r="AD298" s="3" t="n"/>
    </row>
    <row r="299">
      <c r="A299" s="3" t="n"/>
      <c r="B299" s="3" t="n"/>
      <c r="C299" s="4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5">
        <f>IF(H299&lt;&gt;"",H299,IF(AND(I299&lt;&gt;"",J299&lt;&gt;""),ROUND(I299*TAN(RADIANS(J299))+IF(K299="",1.6,K299),2),""))</f>
        <v/>
      </c>
      <c r="M299" s="5">
        <f>IF(D299="","",IFERROR(IF(VLOOKUP(D299,Referencia!$A$2:$B$5,2,FALSE)="","",VLOOKUP(D299,Referencia!$A$2:$B$5,2,FALSE)),""))</f>
        <v/>
      </c>
      <c r="N299" s="5">
        <f>IF(OR(L299="",M299=""),"",IF(L299&gt;=M299,"C","NC"))</f>
        <v/>
      </c>
      <c r="O299" s="3" t="n"/>
      <c r="P299" s="3" t="n"/>
      <c r="Q299" s="5">
        <f>IF(OR(O299="",P299=""),"",ROUND(O299-P299,2))</f>
        <v/>
      </c>
      <c r="R299" s="5">
        <f>IF(Q299="","",IF(Q299&gt;=Referencia!$B$8,"C","NC"))</f>
        <v/>
      </c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5">
        <f>IF(F299="","",(N299="NC")+(R299="NC")+(S299="Não")+(S299="Parcial")+(T299="Sim")+(U299="Sim")+(V299="Sim")+(W299="Sim")+(X299="Sim"))</f>
        <v/>
      </c>
      <c r="AB299" s="5">
        <f>IF(AA299="","",IF(AA299&gt;0,"Sim","Não"))</f>
        <v/>
      </c>
      <c r="AC299" s="3" t="n"/>
      <c r="AD299" s="3" t="n"/>
    </row>
    <row r="300">
      <c r="A300" s="3" t="n"/>
      <c r="B300" s="3" t="n"/>
      <c r="C300" s="4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5">
        <f>IF(H300&lt;&gt;"",H300,IF(AND(I300&lt;&gt;"",J300&lt;&gt;""),ROUND(I300*TAN(RADIANS(J300))+IF(K300="",1.6,K300),2),""))</f>
        <v/>
      </c>
      <c r="M300" s="5">
        <f>IF(D300="","",IFERROR(IF(VLOOKUP(D300,Referencia!$A$2:$B$5,2,FALSE)="","",VLOOKUP(D300,Referencia!$A$2:$B$5,2,FALSE)),""))</f>
        <v/>
      </c>
      <c r="N300" s="5">
        <f>IF(OR(L300="",M300=""),"",IF(L300&gt;=M300,"C","NC"))</f>
        <v/>
      </c>
      <c r="O300" s="3" t="n"/>
      <c r="P300" s="3" t="n"/>
      <c r="Q300" s="5">
        <f>IF(OR(O300="",P300=""),"",ROUND(O300-P300,2))</f>
        <v/>
      </c>
      <c r="R300" s="5">
        <f>IF(Q300="","",IF(Q300&gt;=Referencia!$B$8,"C","NC"))</f>
        <v/>
      </c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5">
        <f>IF(F300="","",(N300="NC")+(R300="NC")+(S300="Não")+(S300="Parcial")+(T300="Sim")+(U300="Sim")+(V300="Sim")+(W300="Sim")+(X300="Sim"))</f>
        <v/>
      </c>
      <c r="AB300" s="5">
        <f>IF(AA300="","",IF(AA300&gt;0,"Sim","Não"))</f>
        <v/>
      </c>
      <c r="AC300" s="3" t="n"/>
      <c r="AD300" s="3" t="n"/>
    </row>
    <row r="301">
      <c r="A301" s="3" t="n"/>
      <c r="B301" s="3" t="n"/>
      <c r="C301" s="4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5">
        <f>IF(H301&lt;&gt;"",H301,IF(AND(I301&lt;&gt;"",J301&lt;&gt;""),ROUND(I301*TAN(RADIANS(J301))+IF(K301="",1.6,K301),2),""))</f>
        <v/>
      </c>
      <c r="M301" s="5">
        <f>IF(D301="","",IFERROR(IF(VLOOKUP(D301,Referencia!$A$2:$B$5,2,FALSE)="","",VLOOKUP(D301,Referencia!$A$2:$B$5,2,FALSE)),""))</f>
        <v/>
      </c>
      <c r="N301" s="5">
        <f>IF(OR(L301="",M301=""),"",IF(L301&gt;=M301,"C","NC"))</f>
        <v/>
      </c>
      <c r="O301" s="3" t="n"/>
      <c r="P301" s="3" t="n"/>
      <c r="Q301" s="5">
        <f>IF(OR(O301="",P301=""),"",ROUND(O301-P301,2))</f>
        <v/>
      </c>
      <c r="R301" s="5">
        <f>IF(Q301="","",IF(Q301&gt;=Referencia!$B$8,"C","NC"))</f>
        <v/>
      </c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5">
        <f>IF(F301="","",(N301="NC")+(R301="NC")+(S301="Não")+(S301="Parcial")+(T301="Sim")+(U301="Sim")+(V301="Sim")+(W301="Sim")+(X301="Sim"))</f>
        <v/>
      </c>
      <c r="AB301" s="5">
        <f>IF(AA301="","",IF(AA301&gt;0,"Sim","Não"))</f>
        <v/>
      </c>
      <c r="AC301" s="3" t="n"/>
      <c r="AD301" s="3" t="n"/>
    </row>
  </sheetData>
  <conditionalFormatting sqref="N2:N301">
    <cfRule type="expression" priority="1" dxfId="0">
      <formula>N2="NC"</formula>
    </cfRule>
  </conditionalFormatting>
  <conditionalFormatting sqref="R2:R301">
    <cfRule type="expression" priority="2" dxfId="0">
      <formula>R2="NC"</formula>
    </cfRule>
  </conditionalFormatting>
  <conditionalFormatting sqref="AB2:AB301">
    <cfRule type="expression" priority="3" dxfId="0">
      <formula>AB2="Sim"</formula>
    </cfRule>
  </conditionalFormatting>
  <dataValidations count="11">
    <dataValidation sqref="B2:B301" showDropDown="0" showInputMessage="0" showErrorMessage="0" allowBlank="1" type="list">
      <formula1>"T1,T2,T3,T4,T5,T6"</formula1>
    </dataValidation>
    <dataValidation sqref="D2:D301" showDropDown="0" showInputMessage="0" showErrorMessage="0" allowBlank="1" type="list">
      <formula1>"Rua/avenida,Entrada de veículos,Rodovia/ferrovia,Só pedestres"</formula1>
    </dataValidation>
    <dataValidation sqref="E2:E301" showDropDown="0" showInputMessage="0" showErrorMessage="0" allowBlank="1" type="list">
      <formula1>"Prim.+sec.,Só primário,Só secundário,Com trafo/chave"</formula1>
    </dataValidation>
    <dataValidation sqref="S2:S301" showDropDown="0" showInputMessage="0" showErrorMessage="0" allowBlank="1" type="list">
      <formula1>"Sim,Não,Parcial"</formula1>
    </dataValidation>
    <dataValidation sqref="T2:T301" showDropDown="0" showInputMessage="0" showErrorMessage="0" allowBlank="1" type="list">
      <formula1>"Sim,Não"</formula1>
    </dataValidation>
    <dataValidation sqref="U2:U301" showDropDown="0" showInputMessage="0" showErrorMessage="0" allowBlank="1" type="list">
      <formula1>"Sim,Não"</formula1>
    </dataValidation>
    <dataValidation sqref="V2:V301" showDropDown="0" showInputMessage="0" showErrorMessage="0" allowBlank="1" type="list">
      <formula1>"Sim,Não"</formula1>
    </dataValidation>
    <dataValidation sqref="W2:W301" showDropDown="0" showInputMessage="0" showErrorMessage="0" allowBlank="1" type="list">
      <formula1>"Sim,Não"</formula1>
    </dataValidation>
    <dataValidation sqref="X2:X301" showDropDown="0" showInputMessage="0" showErrorMessage="0" allowBlank="1" type="list">
      <formula1>"Sim,Não"</formula1>
    </dataValidation>
    <dataValidation sqref="Y2:Y301" showDropDown="0" showInputMessage="0" showErrorMessage="0" allowBlank="1" type="list">
      <formula1>"Sim,Não"</formula1>
    </dataValidation>
    <dataValidation sqref="Z2:Z301" showDropDown="0" showInputMessage="0" showErrorMessage="0" allowBlank="1" type="list">
      <formula1>"Baixa,Média,Alta"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GERAL</t>
        </is>
      </c>
    </row>
    <row r="2">
      <c r="A2" t="inlineStr">
        <is>
          <t>Postes levantados</t>
        </is>
      </c>
      <c r="B2" s="5">
        <f>COUNT(Postes!$F$2:$F$301)</f>
        <v/>
      </c>
    </row>
    <row r="3">
      <c r="A3" t="inlineStr">
        <is>
          <t>Postes com pelo menos 1 não conformidade</t>
        </is>
      </c>
      <c r="B3" s="5">
        <f>COUNTIF(Postes!$AB$2:$AB$301,"Sim")</f>
        <v/>
      </c>
    </row>
    <row r="4">
      <c r="A4" t="inlineStr">
        <is>
          <t>% de postes irregulares</t>
        </is>
      </c>
      <c r="B4" s="7">
        <f>IFERROR(COUNTIF(Postes!$AB$2:$AB$301,"Sim")/COUNT(Postes!$F$2:$F$301),"")</f>
        <v/>
      </c>
    </row>
    <row r="5">
      <c r="A5" t="inlineStr">
        <is>
          <t>Média de cabos de telecom por poste</t>
        </is>
      </c>
      <c r="B5" s="5">
        <f>IFERROR(ROUND(AVERAGE(Postes!$F$2:$F$301),1),"")</f>
        <v/>
      </c>
    </row>
    <row r="6">
      <c r="A6" t="inlineStr">
        <is>
          <t>Máximo de cabos em um poste</t>
        </is>
      </c>
      <c r="B6" s="5">
        <f>IFERROR(MAX(Postes!$F$2:$F$301),"")</f>
        <v/>
      </c>
    </row>
    <row r="7">
      <c r="A7" t="inlineStr">
        <is>
          <t>Média de pontos de fixação por poste</t>
        </is>
      </c>
      <c r="B7" s="5">
        <f>IFERROR(ROUND(AVERAGE(Postes!$G$2:$G$301),1),"")</f>
        <v/>
      </c>
    </row>
    <row r="8">
      <c r="A8" t="inlineStr"/>
    </row>
    <row r="9">
      <c r="A9" s="6" t="inlineStr">
        <is>
          <t>ALTURA AO SOLO (vãos)</t>
        </is>
      </c>
    </row>
    <row r="10">
      <c r="A10" t="inlineStr">
        <is>
          <t>Vãos avaliados</t>
        </is>
      </c>
      <c r="B10" s="5">
        <f>COUNTIF(Postes!$N$2:$N$301,"C")+COUNTIF(Postes!$N$2:$N$301,"NC")</f>
        <v/>
      </c>
    </row>
    <row r="11">
      <c r="A11" t="inlineStr">
        <is>
          <t>Vãos abaixo da altura mínima</t>
        </is>
      </c>
      <c r="B11" s="5">
        <f>COUNTIF(Postes!$N$2:$N$301,"NC")</f>
        <v/>
      </c>
    </row>
    <row r="12">
      <c r="A12" t="inlineStr">
        <is>
          <t>% de vãos abaixo da altura mínima</t>
        </is>
      </c>
      <c r="B12" s="7">
        <f>IFERROR(COUNTIF(Postes!$N$2:$N$301,"NC")/(COUNTIF(Postes!$N$2:$N$301,"C")+COUNTIF(Postes!$N$2:$N$301,"NC")),"")</f>
        <v/>
      </c>
    </row>
    <row r="13">
      <c r="A13" t="inlineStr">
        <is>
          <t>Menor altura encontrada (m)</t>
        </is>
      </c>
      <c r="B13" s="5">
        <f>IFERROR(IF(COUNT(Postes!$L$2:$L$301)=0,"",MIN(Postes!$L$2:$L$301)),"")</f>
        <v/>
      </c>
    </row>
    <row r="14">
      <c r="A14" t="inlineStr"/>
    </row>
    <row r="15">
      <c r="A15" s="6" t="inlineStr">
        <is>
          <t>AFASTAMENTO TELECOM – REDE ELÉTRICA</t>
        </is>
      </c>
    </row>
    <row r="16">
      <c r="A16" t="inlineStr">
        <is>
          <t>Postes avaliados</t>
        </is>
      </c>
      <c r="B16" s="5">
        <f>COUNTIF(Postes!$R$2:$R$301,"C")+COUNTIF(Postes!$R$2:$R$301,"NC")</f>
        <v/>
      </c>
    </row>
    <row r="17">
      <c r="A17" t="inlineStr">
        <is>
          <t>Postes com afastamento abaixo do mínimo</t>
        </is>
      </c>
      <c r="B17" s="5">
        <f>COUNTIF(Postes!$R$2:$R$301,"NC")</f>
        <v/>
      </c>
    </row>
    <row r="18">
      <c r="A18" t="inlineStr">
        <is>
          <t>% abaixo do mínimo</t>
        </is>
      </c>
      <c r="B18" s="7">
        <f>IFERROR(COUNTIF(Postes!$R$2:$R$301,"NC")/(COUNTIF(Postes!$R$2:$R$301,"C")+COUNTIF(Postes!$R$2:$R$301,"NC")),"")</f>
        <v/>
      </c>
    </row>
    <row r="19">
      <c r="A19" t="inlineStr">
        <is>
          <t>Menor afastamento encontrado (m)</t>
        </is>
      </c>
      <c r="B19" s="5">
        <f>IFERROR(IF(COUNT(Postes!$Q$2:$Q$301)=0,"",MIN(Postes!$Q$2:$Q$301)),"")</f>
        <v/>
      </c>
    </row>
    <row r="20">
      <c r="A20" t="inlineStr"/>
    </row>
    <row r="21">
      <c r="A21" s="6" t="inlineStr">
        <is>
          <t>FREQUÊNCIA DAS IRREGULARIDADES (nº de postes)</t>
        </is>
      </c>
    </row>
    <row r="22">
      <c r="A22" t="inlineStr">
        <is>
          <t>Sem plaqueta (não ou parcial)</t>
        </is>
      </c>
      <c r="B22" s="5">
        <f>COUNTIF(Postes!$S$2:$S$301,"Não")+COUNTIF(Postes!$S$2:$S$301,"Parcial")</f>
        <v/>
      </c>
    </row>
    <row r="23">
      <c r="A23" t="inlineStr">
        <is>
          <t>Sobra de cabo enrolada no poste</t>
        </is>
      </c>
      <c r="B23" s="5">
        <f>COUNTIF(Postes!$T$2:$T$301,"Sim")</f>
        <v/>
      </c>
    </row>
    <row r="24">
      <c r="A24" t="inlineStr">
        <is>
          <t>Caixa de emenda a menos de 2 m do poste</t>
        </is>
      </c>
      <c r="B24" s="5">
        <f>COUNTIF(Postes!$U$2:$U$301,"Sim")</f>
        <v/>
      </c>
    </row>
    <row r="25">
      <c r="A25" t="inlineStr">
        <is>
          <t>Equipamento ativo no poste</t>
        </is>
      </c>
      <c r="B25" s="5">
        <f>COUNTIF(Postes!$V$2:$V$301,"Sim")</f>
        <v/>
      </c>
    </row>
    <row r="26">
      <c r="A26" t="inlineStr">
        <is>
          <t>Cabo solto, caído ou abandonado</t>
        </is>
      </c>
      <c r="B26" s="5">
        <f>COUNTIF(Postes!$W$2:$W$301,"Sim")</f>
        <v/>
      </c>
    </row>
    <row r="27">
      <c r="A27" t="inlineStr">
        <is>
          <t>Cabo encostando na rede ou ferragem</t>
        </is>
      </c>
      <c r="B27" s="5">
        <f>COUNTIF(Postes!$X$2:$X$301,"Sim")</f>
        <v/>
      </c>
    </row>
    <row r="28">
      <c r="A28" t="inlineStr">
        <is>
          <t>Poste danificado ou inclinado</t>
        </is>
      </c>
      <c r="B28" s="5">
        <f>COUNTIF(Postes!$Y$2:$Y$301,"Sim")</f>
        <v/>
      </c>
    </row>
    <row r="29">
      <c r="A29" t="inlineStr"/>
    </row>
    <row r="30">
      <c r="A30" s="6" t="inlineStr">
        <is>
          <t>OBSTRUÇÃO DA SUBIDA (risco ao eletricista)</t>
        </is>
      </c>
    </row>
    <row r="31">
      <c r="A31" t="inlineStr">
        <is>
          <t>Postes com obstrução alta</t>
        </is>
      </c>
      <c r="B31" s="5">
        <f>COUNTIF(Postes!$Z$2:$Z$301,"Alta")</f>
        <v/>
      </c>
    </row>
    <row r="32">
      <c r="A32" t="inlineStr">
        <is>
          <t>Média de cabos nos postes com obstrução alta</t>
        </is>
      </c>
      <c r="B32" s="5">
        <f>IFERROR(ROUND(AVERAGEIF(Postes!$Z$2:$Z$301,"Alta",Postes!$F$2:$F$301),1),"")</f>
        <v/>
      </c>
    </row>
    <row r="33">
      <c r="A33" t="inlineStr">
        <is>
          <t>Média de cabos nos postes com obstrução baixa</t>
        </is>
      </c>
      <c r="B33" s="5">
        <f>IFERROR(ROUND(AVERAGEIF(Postes!$Z$2:$Z$301,"Baixa",Postes!$F$2:$F$301),1),"")</f>
        <v/>
      </c>
    </row>
    <row r="34">
      <c r="A34" t="inlineStr"/>
    </row>
    <row r="35">
      <c r="A35" s="6" t="inlineStr">
        <is>
          <t>EQUIPES DE TELECOM OBSERVADAS</t>
        </is>
      </c>
    </row>
    <row r="36">
      <c r="A36" t="inlineStr">
        <is>
          <t>Equipes observadas</t>
        </is>
      </c>
      <c r="B36" s="5">
        <f>COUNTA(Equipes!A2:A41)</f>
        <v/>
      </c>
    </row>
    <row r="37">
      <c r="A37" t="inlineStr">
        <is>
          <t>Sem sinalização viária (NC)</t>
        </is>
      </c>
      <c r="B37" s="5">
        <f>COUNTIF(Equipes!F2:F41,"NC")</f>
        <v/>
      </c>
    </row>
    <row r="38">
      <c r="A38" t="inlineStr">
        <is>
          <t>Escada apoiada nos cabos / sem estabilização (NC)</t>
        </is>
      </c>
      <c r="B38" s="5">
        <f>COUNTIF(Equipes!G2:G41,"NC")</f>
        <v/>
      </c>
    </row>
    <row r="39">
      <c r="A39" t="inlineStr">
        <is>
          <t>Sem conexão acima de 2 m (NC)</t>
        </is>
      </c>
      <c r="B39" s="5">
        <f>COUNTIF(Equipes!I2:I41,"NC")</f>
        <v/>
      </c>
    </row>
    <row r="41">
      <c r="A41" s="6" t="inlineStr">
        <is>
          <t>POR TRECHO</t>
        </is>
      </c>
    </row>
    <row r="42">
      <c r="A42" s="8" t="inlineStr">
        <is>
          <t>Trecho</t>
        </is>
      </c>
      <c r="B42" s="8" t="inlineStr">
        <is>
          <t>Postes</t>
        </is>
      </c>
      <c r="C42" s="8" t="inlineStr">
        <is>
          <t>Irregulares</t>
        </is>
      </c>
      <c r="D42" s="8" t="inlineStr">
        <is>
          <t>% irregulares</t>
        </is>
      </c>
      <c r="E42" s="8" t="inlineStr">
        <is>
          <t>Vãos NC altura</t>
        </is>
      </c>
      <c r="F42" s="8" t="inlineStr">
        <is>
          <t>Afast. NC</t>
        </is>
      </c>
    </row>
    <row r="43">
      <c r="A43" t="inlineStr">
        <is>
          <t>T1</t>
        </is>
      </c>
      <c r="B43" s="5">
        <f>COUNTIFS(Postes!$B$2:$B$301,"T1",Postes!$F$2:$F$301,"&lt;&gt;")</f>
        <v/>
      </c>
      <c r="C43" s="5">
        <f>COUNTIFS(Postes!$B$2:$B$301,"T1",Postes!$AB$2:$AB$301,"Sim")</f>
        <v/>
      </c>
      <c r="D43" s="7">
        <f>IFERROR(C43/B43,"")</f>
        <v/>
      </c>
      <c r="E43" s="5">
        <f>COUNTIFS(Postes!$B$2:$B$301,"T1",Postes!$N$2:$N$301,"NC")</f>
        <v/>
      </c>
      <c r="F43" s="5">
        <f>COUNTIFS(Postes!$B$2:$B$301,"T1",Postes!$R$2:$R$301,"NC")</f>
        <v/>
      </c>
    </row>
    <row r="44">
      <c r="A44" t="inlineStr">
        <is>
          <t>T2</t>
        </is>
      </c>
      <c r="B44" s="5">
        <f>COUNTIFS(Postes!$B$2:$B$301,"T2",Postes!$F$2:$F$301,"&lt;&gt;")</f>
        <v/>
      </c>
      <c r="C44" s="5">
        <f>COUNTIFS(Postes!$B$2:$B$301,"T2",Postes!$AB$2:$AB$301,"Sim")</f>
        <v/>
      </c>
      <c r="D44" s="7">
        <f>IFERROR(C44/B44,"")</f>
        <v/>
      </c>
      <c r="E44" s="5">
        <f>COUNTIFS(Postes!$B$2:$B$301,"T2",Postes!$N$2:$N$301,"NC")</f>
        <v/>
      </c>
      <c r="F44" s="5">
        <f>COUNTIFS(Postes!$B$2:$B$301,"T2",Postes!$R$2:$R$301,"NC")</f>
        <v/>
      </c>
    </row>
    <row r="45">
      <c r="A45" t="inlineStr">
        <is>
          <t>T3</t>
        </is>
      </c>
      <c r="B45" s="5">
        <f>COUNTIFS(Postes!$B$2:$B$301,"T3",Postes!$F$2:$F$301,"&lt;&gt;")</f>
        <v/>
      </c>
      <c r="C45" s="5">
        <f>COUNTIFS(Postes!$B$2:$B$301,"T3",Postes!$AB$2:$AB$301,"Sim")</f>
        <v/>
      </c>
      <c r="D45" s="7">
        <f>IFERROR(C45/B45,"")</f>
        <v/>
      </c>
      <c r="E45" s="5">
        <f>COUNTIFS(Postes!$B$2:$B$301,"T3",Postes!$N$2:$N$301,"NC")</f>
        <v/>
      </c>
      <c r="F45" s="5">
        <f>COUNTIFS(Postes!$B$2:$B$301,"T3",Postes!$R$2:$R$301,"NC")</f>
        <v/>
      </c>
    </row>
    <row r="46">
      <c r="A46" t="inlineStr">
        <is>
          <t>T4</t>
        </is>
      </c>
      <c r="B46" s="5">
        <f>COUNTIFS(Postes!$B$2:$B$301,"T4",Postes!$F$2:$F$301,"&lt;&gt;")</f>
        <v/>
      </c>
      <c r="C46" s="5">
        <f>COUNTIFS(Postes!$B$2:$B$301,"T4",Postes!$AB$2:$AB$301,"Sim")</f>
        <v/>
      </c>
      <c r="D46" s="7">
        <f>IFERROR(C46/B46,"")</f>
        <v/>
      </c>
      <c r="E46" s="5">
        <f>COUNTIFS(Postes!$B$2:$B$301,"T4",Postes!$N$2:$N$301,"NC")</f>
        <v/>
      </c>
      <c r="F46" s="5">
        <f>COUNTIFS(Postes!$B$2:$B$301,"T4",Postes!$R$2:$R$301,"NC")</f>
        <v/>
      </c>
    </row>
    <row r="47">
      <c r="A47" t="inlineStr">
        <is>
          <t>T5</t>
        </is>
      </c>
      <c r="B47" s="5">
        <f>COUNTIFS(Postes!$B$2:$B$301,"T5",Postes!$F$2:$F$301,"&lt;&gt;")</f>
        <v/>
      </c>
      <c r="C47" s="5">
        <f>COUNTIFS(Postes!$B$2:$B$301,"T5",Postes!$AB$2:$AB$301,"Sim")</f>
        <v/>
      </c>
      <c r="D47" s="7">
        <f>IFERROR(C47/B47,"")</f>
        <v/>
      </c>
      <c r="E47" s="5">
        <f>COUNTIFS(Postes!$B$2:$B$301,"T5",Postes!$N$2:$N$301,"NC")</f>
        <v/>
      </c>
      <c r="F47" s="5">
        <f>COUNTIFS(Postes!$B$2:$B$301,"T5",Postes!$R$2:$R$301,"NC")</f>
        <v/>
      </c>
    </row>
    <row r="48">
      <c r="A48" t="inlineStr">
        <is>
          <t>T6</t>
        </is>
      </c>
      <c r="B48" s="5">
        <f>COUNTIFS(Postes!$B$2:$B$301,"T6",Postes!$F$2:$F$301,"&lt;&gt;")</f>
        <v/>
      </c>
      <c r="C48" s="5">
        <f>COUNTIFS(Postes!$B$2:$B$301,"T6",Postes!$AB$2:$AB$301,"Sim")</f>
        <v/>
      </c>
      <c r="D48" s="7">
        <f>IFERROR(C48/B48,"")</f>
        <v/>
      </c>
      <c r="E48" s="5">
        <f>COUNTIFS(Postes!$B$2:$B$301,"T6",Postes!$N$2:$N$301,"NC")</f>
        <v/>
      </c>
      <c r="F48" s="5">
        <f>COUNTIFS(Postes!$B$2:$B$301,"T6",Postes!$R$2:$R$301,"NC")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</cols>
  <sheetData>
    <row r="1">
      <c r="A1" s="8" t="inlineStr">
        <is>
          <t>Local do vão</t>
        </is>
      </c>
      <c r="B1" s="8" t="inlineStr">
        <is>
          <t>Altura mín. (m)</t>
        </is>
      </c>
      <c r="C1" s="8" t="inlineStr">
        <is>
          <t>Fonte / observação</t>
        </is>
      </c>
    </row>
    <row r="2">
      <c r="A2" s="9" t="inlineStr">
        <is>
          <t>Rua/avenida</t>
        </is>
      </c>
      <c r="B2" s="3" t="n">
        <v>5</v>
      </c>
      <c r="C2" s="9" t="inlineStr">
        <is>
          <t>NBR 15214 — conferir</t>
        </is>
      </c>
    </row>
    <row r="3">
      <c r="A3" s="9" t="inlineStr">
        <is>
          <t>Entrada de veículos</t>
        </is>
      </c>
      <c r="B3" s="3" t="n">
        <v>4.5</v>
      </c>
      <c r="C3" s="9" t="inlineStr">
        <is>
          <t>NBR 15214 (entradas de prédios / uso restrito a veículos) — conferir</t>
        </is>
      </c>
    </row>
    <row r="4">
      <c r="A4" s="9" t="inlineStr">
        <is>
          <t>Rodovia/ferrovia</t>
        </is>
      </c>
      <c r="B4" s="3" t="n">
        <v>6</v>
      </c>
      <c r="C4" s="9" t="inlineStr">
        <is>
          <t>6,00 a 7,00 m conforme a fonte (7,00 em rodovias federais em algumas normas) — conferir</t>
        </is>
      </c>
    </row>
    <row r="5">
      <c r="A5" s="9" t="inlineStr">
        <is>
          <t>Só pedestres</t>
        </is>
      </c>
      <c r="B5" s="10" t="n"/>
      <c r="C5" s="9" t="inlineStr">
        <is>
          <t>Preencher com o valor da norma da distribuidora, se houver</t>
        </is>
      </c>
    </row>
    <row r="6">
      <c r="A6" t="inlineStr"/>
      <c r="C6" t="inlineStr"/>
    </row>
    <row r="7">
      <c r="A7" s="8" t="inlineStr">
        <is>
          <t>Outros requisitos</t>
        </is>
      </c>
      <c r="B7" s="8" t="inlineStr">
        <is>
          <t>Valor</t>
        </is>
      </c>
      <c r="C7" s="8" t="inlineStr"/>
    </row>
    <row r="8">
      <c r="A8" s="9" t="inlineStr">
        <is>
          <t>Afastamento mín. telecom – neutro (m)</t>
        </is>
      </c>
      <c r="B8" s="3" t="n">
        <v>0.6</v>
      </c>
      <c r="C8" s="9" t="inlineStr">
        <is>
          <t>NBR 15214 — conferir</t>
        </is>
      </c>
    </row>
    <row r="9">
      <c r="A9" s="9" t="inlineStr">
        <is>
          <t>Distância mín. da caixa de emenda/reserva ao poste (m)</t>
        </is>
      </c>
      <c r="B9" s="3" t="n">
        <v>2</v>
      </c>
      <c r="C9" s="9" t="inlineStr">
        <is>
          <t>NBR 15214 — registrado na col. U (S/N)</t>
        </is>
      </c>
    </row>
    <row r="10">
      <c r="A10" s="9" t="inlineStr">
        <is>
          <t>Diâmetro máx. por ponto de fixação (mm)</t>
        </is>
      </c>
      <c r="B10" s="3" t="n">
        <v>65</v>
      </c>
      <c r="C10" s="9" t="inlineStr">
        <is>
          <t>NBR 15214 — referência para a discussão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8" customWidth="1" min="15" max="15"/>
    <col width="30" customWidth="1" min="16" max="16"/>
  </cols>
  <sheetData>
    <row r="1" ht="54" customHeight="1">
      <c r="A1" s="2" t="inlineStr">
        <is>
          <t>Data</t>
        </is>
      </c>
      <c r="B1" s="2" t="inlineStr">
        <is>
          <t>Trecho</t>
        </is>
      </c>
      <c r="C1" s="2" t="inlineStr">
        <is>
          <t>Provedor (letra)</t>
        </is>
      </c>
      <c r="D1" s="2" t="inlineStr">
        <is>
          <t>Nº pessoas</t>
        </is>
      </c>
      <c r="E1" s="2" t="inlineStr">
        <is>
          <t>Atividade</t>
        </is>
      </c>
      <c r="F1" s="2" t="inlineStr">
        <is>
          <t>Sinalização viária</t>
        </is>
      </c>
      <c r="G1" s="2" t="inlineStr">
        <is>
          <t>Escada apoiada no poste (não nos cabos) e estabilizada</t>
        </is>
      </c>
      <c r="H1" s="2" t="inlineStr">
        <is>
          <t>Escada isolante</t>
        </is>
      </c>
      <c r="I1" s="2" t="inlineStr">
        <is>
          <t>Conectado acima de 2 m</t>
        </is>
      </c>
      <c r="J1" s="2" t="inlineStr">
        <is>
          <t>Pessoa no solo apoiando/controlando trânsito</t>
        </is>
      </c>
      <c r="K1" s="2" t="inlineStr">
        <is>
          <t>Distância da rede elétrica</t>
        </is>
      </c>
      <c r="L1" s="2" t="inlineStr">
        <is>
          <t>Capacete com jugular, luvas, calçado</t>
        </is>
      </c>
      <c r="M1" s="2" t="inlineStr">
        <is>
          <t>Suspensão em chuva/vento</t>
        </is>
      </c>
      <c r="N1" s="2" t="inlineStr">
        <is>
          <t>Cabo novo na faixa e com plaqueta</t>
        </is>
      </c>
      <c r="O1" s="2" t="inlineStr">
        <is>
          <t>Nº de NC</t>
        </is>
      </c>
      <c r="P1" s="2" t="inlineStr">
        <is>
          <t>Obs.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5">
        <f>IF(A2="","",COUNTIF(F2:N2,"NC"))</f>
        <v/>
      </c>
      <c r="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5">
        <f>IF(A3="","",COUNTIF(F3:N3,"NC"))</f>
        <v/>
      </c>
      <c r="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5">
        <f>IF(A4="","",COUNTIF(F4:N4,"NC"))</f>
        <v/>
      </c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5">
        <f>IF(A5="","",COUNTIF(F5:N5,"NC"))</f>
        <v/>
      </c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5">
        <f>IF(A6="","",COUNTIF(F6:N6,"NC"))</f>
        <v/>
      </c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5">
        <f>IF(A7="","",COUNTIF(F7:N7,"NC"))</f>
        <v/>
      </c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5">
        <f>IF(A8="","",COUNTIF(F8:N8,"NC"))</f>
        <v/>
      </c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5">
        <f>IF(A9="","",COUNTIF(F9:N9,"NC"))</f>
        <v/>
      </c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5">
        <f>IF(A10="","",COUNTIF(F10:N10,"NC"))</f>
        <v/>
      </c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5">
        <f>IF(A11="","",COUNTIF(F11:N11,"NC"))</f>
        <v/>
      </c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5">
        <f>IF(A12="","",COUNTIF(F12:N12,"NC"))</f>
        <v/>
      </c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5">
        <f>IF(A13="","",COUNTIF(F13:N13,"NC"))</f>
        <v/>
      </c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5">
        <f>IF(A14="","",COUNTIF(F14:N14,"NC"))</f>
        <v/>
      </c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5">
        <f>IF(A15="","",COUNTIF(F15:N15,"NC"))</f>
        <v/>
      </c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5">
        <f>IF(A16="","",COUNTIF(F16:N16,"NC"))</f>
        <v/>
      </c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5">
        <f>IF(A17="","",COUNTIF(F17:N17,"NC"))</f>
        <v/>
      </c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5">
        <f>IF(A18="","",COUNTIF(F18:N18,"NC"))</f>
        <v/>
      </c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5">
        <f>IF(A19="","",COUNTIF(F19:N19,"NC"))</f>
        <v/>
      </c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5">
        <f>IF(A20="","",COUNTIF(F20:N20,"NC"))</f>
        <v/>
      </c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5">
        <f>IF(A21="","",COUNTIF(F21:N21,"NC"))</f>
        <v/>
      </c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5">
        <f>IF(A22="","",COUNTIF(F22:N22,"NC"))</f>
        <v/>
      </c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5">
        <f>IF(A23="","",COUNTIF(F23:N23,"NC"))</f>
        <v/>
      </c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5">
        <f>IF(A24="","",COUNTIF(F24:N24,"NC"))</f>
        <v/>
      </c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5">
        <f>IF(A25="","",COUNTIF(F25:N25,"NC"))</f>
        <v/>
      </c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5">
        <f>IF(A26="","",COUNTIF(F26:N26,"NC"))</f>
        <v/>
      </c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5">
        <f>IF(A27="","",COUNTIF(F27:N27,"NC"))</f>
        <v/>
      </c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5">
        <f>IF(A28="","",COUNTIF(F28:N28,"NC"))</f>
        <v/>
      </c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5">
        <f>IF(A29="","",COUNTIF(F29:N29,"NC"))</f>
        <v/>
      </c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5">
        <f>IF(A30="","",COUNTIF(F30:N30,"NC"))</f>
        <v/>
      </c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5">
        <f>IF(A31="","",COUNTIF(F31:N31,"NC"))</f>
        <v/>
      </c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5">
        <f>IF(A32="","",COUNTIF(F32:N32,"NC"))</f>
        <v/>
      </c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5">
        <f>IF(A33="","",COUNTIF(F33:N33,"NC"))</f>
        <v/>
      </c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5">
        <f>IF(A34="","",COUNTIF(F34:N34,"NC"))</f>
        <v/>
      </c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5">
        <f>IF(A35="","",COUNTIF(F35:N35,"NC"))</f>
        <v/>
      </c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5">
        <f>IF(A36="","",COUNTIF(F36:N36,"NC"))</f>
        <v/>
      </c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5">
        <f>IF(A37="","",COUNTIF(F37:N37,"NC"))</f>
        <v/>
      </c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5">
        <f>IF(A38="","",COUNTIF(F38:N38,"NC"))</f>
        <v/>
      </c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5">
        <f>IF(A39="","",COUNTIF(F39:N39,"NC"))</f>
        <v/>
      </c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5">
        <f>IF(A40="","",COUNTIF(F40:N40,"NC"))</f>
        <v/>
      </c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5">
        <f>IF(A41="","",COUNTIF(F41:N41,"NC"))</f>
        <v/>
      </c>
      <c r="P41" s="3" t="n"/>
    </row>
  </sheetData>
  <conditionalFormatting sqref="F2:N41">
    <cfRule type="expression" priority="1" dxfId="0">
      <formula>F2="NC"</formula>
    </cfRule>
  </conditionalFormatting>
  <dataValidations count="1">
    <dataValidation sqref="F2:N41" showDropDown="0" showInputMessage="0" showErrorMessage="0" allowBlank="1" type="list">
      <formula1>"C,NC,NA"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50" customWidth="1" min="4" max="4"/>
    <col width="11" customWidth="1" min="5" max="5"/>
    <col width="28" customWidth="1" min="6" max="6"/>
  </cols>
  <sheetData>
    <row r="1" ht="54" customHeight="1">
      <c r="A1" s="2" t="inlineStr">
        <is>
          <t>Nº foto</t>
        </is>
      </c>
      <c r="B1" s="2" t="inlineStr">
        <is>
          <t>Data</t>
        </is>
      </c>
      <c r="C1" s="2" t="inlineStr">
        <is>
          <t>Poste/trecho</t>
        </is>
      </c>
      <c r="D1" s="2" t="inlineStr">
        <is>
          <t>O que mostra</t>
        </is>
      </c>
      <c r="E1" s="2" t="inlineStr">
        <is>
          <t>Desfocar?</t>
        </is>
      </c>
      <c r="F1" s="2" t="inlineStr">
        <is>
          <t>Arquivo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</sheetData>
  <dataValidations count="1">
    <dataValidation sqref="E2:E15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2026-10-27T14:11:13Z</dcterms:created>
  <dcterms:modified xmlns:dcterms="http://purl.org/dc/terms/" xmlns:xsi="http://www.w3.org/2001/XMLSchema-instance" xsi:type="dcterms:W3CDTF">2026-10-27T14:11:13Z</dcterms:modified>
</cp:coreProperties>
</file>