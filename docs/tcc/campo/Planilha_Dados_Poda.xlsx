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Dosimetria" sheetId="2" state="visible" r:id="rId2"/>
    <sheet xmlns:r="http://schemas.openxmlformats.org/officeDocument/2006/relationships" name="Atividades" sheetId="3" state="visible" r:id="rId3"/>
    <sheet xmlns:r="http://schemas.openxmlformats.org/officeDocument/2006/relationships" name="Verificacao" sheetId="4" state="visible" r:id="rId4"/>
    <sheet xmlns:r="http://schemas.openxmlformats.org/officeDocument/2006/relationships" name="EPI" sheetId="5" state="visible" r:id="rId5"/>
    <sheet xmlns:r="http://schemas.openxmlformats.org/officeDocument/2006/relationships" name="Fotos" sheetId="6" state="visible" r:id="rId6"/>
    <sheet xmlns:r="http://schemas.openxmlformats.org/officeDocument/2006/relationships" name="Resumo" sheetId="7" state="visible" r:id="rId7"/>
    <sheet xmlns:r="http://schemas.openxmlformats.org/officeDocument/2006/relationships" name="Referenc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hh:mm"/>
  </numFmts>
  <fonts count="4">
    <font>
      <name val="Calibri"/>
      <family val="2"/>
      <color theme="1"/>
      <sz val="11"/>
      <scheme val="minor"/>
    </font>
    <font>
      <b val="1"/>
      <color rgb="0016233F"/>
      <sz val="13"/>
    </font>
    <font>
      <b val="1"/>
      <color rgb="00FFFFFF"/>
    </font>
    <font>
      <b val="1"/>
      <color rgb="0016233F"/>
    </font>
  </fonts>
  <fills count="5">
    <fill>
      <patternFill/>
    </fill>
    <fill>
      <patternFill patternType="gray125"/>
    </fill>
    <fill>
      <patternFill patternType="solid">
        <fgColor rgb="0016233F"/>
      </patternFill>
    </fill>
    <fill>
      <patternFill patternType="solid">
        <fgColor rgb="00FFF8DC"/>
      </patternFill>
    </fill>
    <fill>
      <patternFill patternType="solid">
        <fgColor rgb="00E8EEF6"/>
      </patternFill>
    </fill>
  </fills>
  <borders count="3">
    <border>
      <left/>
      <right/>
      <top/>
      <bottom/>
      <diagonal/>
    </border>
    <border>
      <left style="thin">
        <color rgb="00B8C2D0"/>
      </left>
      <right style="thin">
        <color rgb="00B8C2D0"/>
      </right>
      <top style="thin">
        <color rgb="00B8C2D0"/>
      </top>
      <bottom style="thin">
        <color rgb="00B8C2D0"/>
      </bottom>
    </border>
    <border/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3" fillId="0" borderId="0" pivotButton="0" quotePrefix="0" xfId="0"/>
    <xf numFmtId="0" fontId="0" fillId="4" borderId="1" pivotButton="0" quotePrefix="0" xfId="0"/>
    <xf numFmtId="9" fontId="0" fillId="4" borderId="1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dxfs count="2">
    <dxf>
      <fill>
        <patternFill patternType="solid">
          <fgColor rgb="00F4C7C3"/>
        </patternFill>
      </fill>
    </dxf>
    <dxf>
      <fill>
        <patternFill patternType="solid">
          <fgColor rgb="00FCE8B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PLANILHA DE DADOS — ESTUDO DE CASO: PODA JUNTO À REDE DE DISTRIBUIÇÃO</t>
        </is>
      </c>
    </row>
    <row r="2">
      <c r="A2" t="inlineStr"/>
    </row>
    <row r="3">
      <c r="A3" t="inlineStr">
        <is>
          <t>Células AMARELAS = você preenche.  Células AZUIS = calculadas (não editar).</t>
        </is>
      </c>
    </row>
    <row r="4">
      <c r="A4" t="inlineStr">
        <is>
          <t>Nunca escreva nomes: use P1, P2 para os podadores e o nº de série dos equipamentos.</t>
        </is>
      </c>
    </row>
    <row r="5">
      <c r="A5" t="inlineStr"/>
    </row>
    <row r="6">
      <c r="A6" t="inlineStr">
        <is>
          <t>Abas:</t>
        </is>
      </c>
    </row>
    <row r="7">
      <c r="A7" t="inlineStr">
        <is>
          <t xml:space="preserve">  Dosimetria   — uma linha por jornada medida (ficha F2). Calcula NEN e classificação.</t>
        </is>
      </c>
    </row>
    <row r="8">
      <c r="A8" t="inlineStr">
        <is>
          <t xml:space="preserve">  Atividades   — diário da jornada (ficha F3), para explicar a dose.</t>
        </is>
      </c>
    </row>
    <row r="9">
      <c r="A9" t="inlineStr">
        <is>
          <t xml:space="preserve">  Verificacao  — itens das fichas F4 (NR-10), F5 (NR-35) e F6 (NR-12): C / NC / NA.</t>
        </is>
      </c>
    </row>
    <row r="10">
      <c r="A10" t="inlineStr">
        <is>
          <t xml:space="preserve">  EPI          — ficha F7.</t>
        </is>
      </c>
    </row>
    <row r="11">
      <c r="A11" t="inlineStr">
        <is>
          <t xml:space="preserve">  Fotos        — ficha F9.</t>
        </is>
      </c>
    </row>
    <row r="12">
      <c r="A12" t="inlineStr">
        <is>
          <t xml:space="preserve">  Resumo       — totais automáticos para o capítulo de resultados.</t>
        </is>
      </c>
    </row>
    <row r="13">
      <c r="A13" t="inlineStr">
        <is>
          <t xml:space="preserve">  Referencia   — parâmetros e critérios usados nos cálculos.</t>
        </is>
      </c>
    </row>
    <row r="14">
      <c r="A14" t="inlineStr"/>
    </row>
    <row r="15">
      <c r="A15" t="inlineStr">
        <is>
          <t>Fórmula do NEN (NHO-01, q = 3): NEN = 85 + 10·log10(D/100), com D = dose da jornada (%).</t>
        </is>
      </c>
    </row>
    <row r="16">
      <c r="A16" t="inlineStr">
        <is>
          <t>Se a medição cobriu só parte da jornada: D projetada = D medida × (jornada / TE).</t>
        </is>
      </c>
    </row>
    <row r="17">
      <c r="A17" t="inlineStr">
        <is>
          <t>Amostra válida: diferença entre calibração antes e depois ≤ ±1 dB.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24" customWidth="1" min="4" max="4"/>
    <col width="15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2" customWidth="1" min="12" max="12"/>
    <col width="11" customWidth="1" min="13" max="13"/>
    <col width="11" customWidth="1" min="14" max="14"/>
    <col width="13" customWidth="1" min="15" max="15"/>
    <col width="10" customWidth="1" min="16" max="16"/>
    <col width="20" customWidth="1" min="17" max="17"/>
    <col width="22" customWidth="1" min="18" max="18"/>
    <col width="16" customWidth="1" min="19" max="19"/>
    <col width="30" customWidth="1" min="20" max="20"/>
  </cols>
  <sheetData>
    <row r="1" ht="42" customHeight="1">
      <c r="A1" s="2" t="inlineStr">
        <is>
          <t>Amostra</t>
        </is>
      </c>
      <c r="B1" s="2" t="inlineStr">
        <is>
          <t>Data</t>
        </is>
      </c>
      <c r="C1" s="2" t="inlineStr">
        <is>
          <t>Podador</t>
        </is>
      </c>
      <c r="D1" s="2" t="inlineStr">
        <is>
          <t>Atividade predominante</t>
        </is>
      </c>
      <c r="E1" s="2" t="inlineStr">
        <is>
          <t>Dosímetro (nº série)</t>
        </is>
      </c>
      <c r="F1" s="2" t="inlineStr">
        <is>
          <t>Calib. antes (dB)</t>
        </is>
      </c>
      <c r="G1" s="2" t="inlineStr">
        <is>
          <t>Calib. depois (dB)</t>
        </is>
      </c>
      <c r="H1" s="2" t="inlineStr">
        <is>
          <t>Diferença (dB)</t>
        </is>
      </c>
      <c r="I1" s="2" t="inlineStr">
        <is>
          <t>Amostra válida?</t>
        </is>
      </c>
      <c r="J1" s="2" t="inlineStr">
        <is>
          <t>Jornada (min)</t>
        </is>
      </c>
      <c r="K1" s="2" t="inlineStr">
        <is>
          <t>TE medido (min)</t>
        </is>
      </c>
      <c r="L1" s="2" t="inlineStr">
        <is>
          <t>Dose NHO-01 medida (%)</t>
        </is>
      </c>
      <c r="M1" s="2" t="inlineStr">
        <is>
          <t>Dose NR-15 (%)</t>
        </is>
      </c>
      <c r="N1" s="2" t="inlineStr">
        <is>
          <t>Leq/Lavg (dB(A))</t>
        </is>
      </c>
      <c r="O1" s="2" t="inlineStr">
        <is>
          <t>Dose NHO-01 projetada (%)</t>
        </is>
      </c>
      <c r="P1" s="2" t="inlineStr">
        <is>
          <t>NEN (dB(A))</t>
        </is>
      </c>
      <c r="Q1" s="2" t="inlineStr">
        <is>
          <t>Classificação NHO-01</t>
        </is>
      </c>
      <c r="R1" s="2" t="inlineStr">
        <is>
          <t>Situação NR-15 (Anexo 1)</t>
        </is>
      </c>
      <c r="S1" s="2" t="inlineStr">
        <is>
          <t>Protetor auditivo no corte</t>
        </is>
      </c>
      <c r="T1" s="2" t="inlineStr">
        <is>
          <t>Observações</t>
        </is>
      </c>
    </row>
    <row r="2">
      <c r="A2" s="3" t="inlineStr">
        <is>
          <t>A01</t>
        </is>
      </c>
      <c r="B2" s="4" t="n"/>
      <c r="C2" s="3" t="n"/>
      <c r="D2" s="3" t="n"/>
      <c r="E2" s="3" t="n"/>
      <c r="F2" s="3" t="n"/>
      <c r="G2" s="3" t="n"/>
      <c r="H2" s="5">
        <f>IF(OR(F2="",G2=""),"",ROUND(G2-F2,1))</f>
        <v/>
      </c>
      <c r="I2" s="5">
        <f>IF(H2="","",IF(ABS(H2)&lt;=1,"Sim","NÃO — repetir"))</f>
        <v/>
      </c>
      <c r="J2" s="3" t="n"/>
      <c r="K2" s="3" t="n"/>
      <c r="L2" s="3" t="n"/>
      <c r="M2" s="3" t="n"/>
      <c r="N2" s="3" t="n"/>
      <c r="O2" s="5">
        <f>IF(OR(L2="",K2="",J2=""),"",ROUND(L2*J2/K2,1))</f>
        <v/>
      </c>
      <c r="P2" s="5">
        <f>IF(OR(O2="",O2&lt;=0),"",ROUND(85+10*LOG10(O2/100),1))</f>
        <v/>
      </c>
      <c r="Q2" s="5">
        <f>IF(P2="","",IF(I2="NÃO — repetir","Amostra inválida",IF(P2&gt;=85,"Acima do limite",IF(P2&gt;=82,"Nível de ação","Aceitável"))))</f>
        <v/>
      </c>
      <c r="R2" s="5">
        <f>IF(M2="","",IF(I2="NÃO — repetir","Amostra inválida",IF(M2&gt;100,"Acima do LT (insalubre)","Abaixo do LT")))</f>
        <v/>
      </c>
      <c r="S2" s="3" t="n"/>
      <c r="T2" s="3" t="n"/>
    </row>
    <row r="3">
      <c r="A3" s="3" t="inlineStr">
        <is>
          <t>A02</t>
        </is>
      </c>
      <c r="B3" s="4" t="n"/>
      <c r="C3" s="3" t="n"/>
      <c r="D3" s="3" t="n"/>
      <c r="E3" s="3" t="n"/>
      <c r="F3" s="3" t="n"/>
      <c r="G3" s="3" t="n"/>
      <c r="H3" s="5">
        <f>IF(OR(F3="",G3=""),"",ROUND(G3-F3,1))</f>
        <v/>
      </c>
      <c r="I3" s="5">
        <f>IF(H3="","",IF(ABS(H3)&lt;=1,"Sim","NÃO — repetir"))</f>
        <v/>
      </c>
      <c r="J3" s="3" t="n"/>
      <c r="K3" s="3" t="n"/>
      <c r="L3" s="3" t="n"/>
      <c r="M3" s="3" t="n"/>
      <c r="N3" s="3" t="n"/>
      <c r="O3" s="5">
        <f>IF(OR(L3="",K3="",J3=""),"",ROUND(L3*J3/K3,1))</f>
        <v/>
      </c>
      <c r="P3" s="5">
        <f>IF(OR(O3="",O3&lt;=0),"",ROUND(85+10*LOG10(O3/100),1))</f>
        <v/>
      </c>
      <c r="Q3" s="5">
        <f>IF(P3="","",IF(I3="NÃO — repetir","Amostra inválida",IF(P3&gt;=85,"Acima do limite",IF(P3&gt;=82,"Nível de ação","Aceitável"))))</f>
        <v/>
      </c>
      <c r="R3" s="5">
        <f>IF(M3="","",IF(I3="NÃO — repetir","Amostra inválida",IF(M3&gt;100,"Acima do LT (insalubre)","Abaixo do LT")))</f>
        <v/>
      </c>
      <c r="S3" s="3" t="n"/>
      <c r="T3" s="3" t="n"/>
    </row>
    <row r="4">
      <c r="A4" s="3" t="inlineStr">
        <is>
          <t>A03</t>
        </is>
      </c>
      <c r="B4" s="4" t="n"/>
      <c r="C4" s="3" t="n"/>
      <c r="D4" s="3" t="n"/>
      <c r="E4" s="3" t="n"/>
      <c r="F4" s="3" t="n"/>
      <c r="G4" s="3" t="n"/>
      <c r="H4" s="5">
        <f>IF(OR(F4="",G4=""),"",ROUND(G4-F4,1))</f>
        <v/>
      </c>
      <c r="I4" s="5">
        <f>IF(H4="","",IF(ABS(H4)&lt;=1,"Sim","NÃO — repetir"))</f>
        <v/>
      </c>
      <c r="J4" s="3" t="n"/>
      <c r="K4" s="3" t="n"/>
      <c r="L4" s="3" t="n"/>
      <c r="M4" s="3" t="n"/>
      <c r="N4" s="3" t="n"/>
      <c r="O4" s="5">
        <f>IF(OR(L4="",K4="",J4=""),"",ROUND(L4*J4/K4,1))</f>
        <v/>
      </c>
      <c r="P4" s="5">
        <f>IF(OR(O4="",O4&lt;=0),"",ROUND(85+10*LOG10(O4/100),1))</f>
        <v/>
      </c>
      <c r="Q4" s="5">
        <f>IF(P4="","",IF(I4="NÃO — repetir","Amostra inválida",IF(P4&gt;=85,"Acima do limite",IF(P4&gt;=82,"Nível de ação","Aceitável"))))</f>
        <v/>
      </c>
      <c r="R4" s="5">
        <f>IF(M4="","",IF(I4="NÃO — repetir","Amostra inválida",IF(M4&gt;100,"Acima do LT (insalubre)","Abaixo do LT")))</f>
        <v/>
      </c>
      <c r="S4" s="3" t="n"/>
      <c r="T4" s="3" t="n"/>
    </row>
    <row r="5">
      <c r="A5" s="3" t="inlineStr">
        <is>
          <t>A04</t>
        </is>
      </c>
      <c r="B5" s="4" t="n"/>
      <c r="C5" s="3" t="n"/>
      <c r="D5" s="3" t="n"/>
      <c r="E5" s="3" t="n"/>
      <c r="F5" s="3" t="n"/>
      <c r="G5" s="3" t="n"/>
      <c r="H5" s="5">
        <f>IF(OR(F5="",G5=""),"",ROUND(G5-F5,1))</f>
        <v/>
      </c>
      <c r="I5" s="5">
        <f>IF(H5="","",IF(ABS(H5)&lt;=1,"Sim","NÃO — repetir"))</f>
        <v/>
      </c>
      <c r="J5" s="3" t="n"/>
      <c r="K5" s="3" t="n"/>
      <c r="L5" s="3" t="n"/>
      <c r="M5" s="3" t="n"/>
      <c r="N5" s="3" t="n"/>
      <c r="O5" s="5">
        <f>IF(OR(L5="",K5="",J5=""),"",ROUND(L5*J5/K5,1))</f>
        <v/>
      </c>
      <c r="P5" s="5">
        <f>IF(OR(O5="",O5&lt;=0),"",ROUND(85+10*LOG10(O5/100),1))</f>
        <v/>
      </c>
      <c r="Q5" s="5">
        <f>IF(P5="","",IF(I5="NÃO — repetir","Amostra inválida",IF(P5&gt;=85,"Acima do limite",IF(P5&gt;=82,"Nível de ação","Aceitável"))))</f>
        <v/>
      </c>
      <c r="R5" s="5">
        <f>IF(M5="","",IF(I5="NÃO — repetir","Amostra inválida",IF(M5&gt;100,"Acima do LT (insalubre)","Abaixo do LT")))</f>
        <v/>
      </c>
      <c r="S5" s="3" t="n"/>
      <c r="T5" s="3" t="n"/>
    </row>
    <row r="6">
      <c r="A6" s="3" t="inlineStr">
        <is>
          <t>A05</t>
        </is>
      </c>
      <c r="B6" s="4" t="n"/>
      <c r="C6" s="3" t="n"/>
      <c r="D6" s="3" t="n"/>
      <c r="E6" s="3" t="n"/>
      <c r="F6" s="3" t="n"/>
      <c r="G6" s="3" t="n"/>
      <c r="H6" s="5">
        <f>IF(OR(F6="",G6=""),"",ROUND(G6-F6,1))</f>
        <v/>
      </c>
      <c r="I6" s="5">
        <f>IF(H6="","",IF(ABS(H6)&lt;=1,"Sim","NÃO — repetir"))</f>
        <v/>
      </c>
      <c r="J6" s="3" t="n"/>
      <c r="K6" s="3" t="n"/>
      <c r="L6" s="3" t="n"/>
      <c r="M6" s="3" t="n"/>
      <c r="N6" s="3" t="n"/>
      <c r="O6" s="5">
        <f>IF(OR(L6="",K6="",J6=""),"",ROUND(L6*J6/K6,1))</f>
        <v/>
      </c>
      <c r="P6" s="5">
        <f>IF(OR(O6="",O6&lt;=0),"",ROUND(85+10*LOG10(O6/100),1))</f>
        <v/>
      </c>
      <c r="Q6" s="5">
        <f>IF(P6="","",IF(I6="NÃO — repetir","Amostra inválida",IF(P6&gt;=85,"Acima do limite",IF(P6&gt;=82,"Nível de ação","Aceitável"))))</f>
        <v/>
      </c>
      <c r="R6" s="5">
        <f>IF(M6="","",IF(I6="NÃO — repetir","Amostra inválida",IF(M6&gt;100,"Acima do LT (insalubre)","Abaixo do LT")))</f>
        <v/>
      </c>
      <c r="S6" s="3" t="n"/>
      <c r="T6" s="3" t="n"/>
    </row>
    <row r="7">
      <c r="A7" s="3" t="inlineStr">
        <is>
          <t>A06</t>
        </is>
      </c>
      <c r="B7" s="4" t="n"/>
      <c r="C7" s="3" t="n"/>
      <c r="D7" s="3" t="n"/>
      <c r="E7" s="3" t="n"/>
      <c r="F7" s="3" t="n"/>
      <c r="G7" s="3" t="n"/>
      <c r="H7" s="5">
        <f>IF(OR(F7="",G7=""),"",ROUND(G7-F7,1))</f>
        <v/>
      </c>
      <c r="I7" s="5">
        <f>IF(H7="","",IF(ABS(H7)&lt;=1,"Sim","NÃO — repetir"))</f>
        <v/>
      </c>
      <c r="J7" s="3" t="n"/>
      <c r="K7" s="3" t="n"/>
      <c r="L7" s="3" t="n"/>
      <c r="M7" s="3" t="n"/>
      <c r="N7" s="3" t="n"/>
      <c r="O7" s="5">
        <f>IF(OR(L7="",K7="",J7=""),"",ROUND(L7*J7/K7,1))</f>
        <v/>
      </c>
      <c r="P7" s="5">
        <f>IF(OR(O7="",O7&lt;=0),"",ROUND(85+10*LOG10(O7/100),1))</f>
        <v/>
      </c>
      <c r="Q7" s="5">
        <f>IF(P7="","",IF(I7="NÃO — repetir","Amostra inválida",IF(P7&gt;=85,"Acima do limite",IF(P7&gt;=82,"Nível de ação","Aceitável"))))</f>
        <v/>
      </c>
      <c r="R7" s="5">
        <f>IF(M7="","",IF(I7="NÃO — repetir","Amostra inválida",IF(M7&gt;100,"Acima do LT (insalubre)","Abaixo do LT")))</f>
        <v/>
      </c>
      <c r="S7" s="3" t="n"/>
      <c r="T7" s="3" t="n"/>
    </row>
    <row r="8">
      <c r="A8" s="3" t="inlineStr">
        <is>
          <t>A07</t>
        </is>
      </c>
      <c r="B8" s="4" t="n"/>
      <c r="C8" s="3" t="n"/>
      <c r="D8" s="3" t="n"/>
      <c r="E8" s="3" t="n"/>
      <c r="F8" s="3" t="n"/>
      <c r="G8" s="3" t="n"/>
      <c r="H8" s="5">
        <f>IF(OR(F8="",G8=""),"",ROUND(G8-F8,1))</f>
        <v/>
      </c>
      <c r="I8" s="5">
        <f>IF(H8="","",IF(ABS(H8)&lt;=1,"Sim","NÃO — repetir"))</f>
        <v/>
      </c>
      <c r="J8" s="3" t="n"/>
      <c r="K8" s="3" t="n"/>
      <c r="L8" s="3" t="n"/>
      <c r="M8" s="3" t="n"/>
      <c r="N8" s="3" t="n"/>
      <c r="O8" s="5">
        <f>IF(OR(L8="",K8="",J8=""),"",ROUND(L8*J8/K8,1))</f>
        <v/>
      </c>
      <c r="P8" s="5">
        <f>IF(OR(O8="",O8&lt;=0),"",ROUND(85+10*LOG10(O8/100),1))</f>
        <v/>
      </c>
      <c r="Q8" s="5">
        <f>IF(P8="","",IF(I8="NÃO — repetir","Amostra inválida",IF(P8&gt;=85,"Acima do limite",IF(P8&gt;=82,"Nível de ação","Aceitável"))))</f>
        <v/>
      </c>
      <c r="R8" s="5">
        <f>IF(M8="","",IF(I8="NÃO — repetir","Amostra inválida",IF(M8&gt;100,"Acima do LT (insalubre)","Abaixo do LT")))</f>
        <v/>
      </c>
      <c r="S8" s="3" t="n"/>
      <c r="T8" s="3" t="n"/>
    </row>
    <row r="9">
      <c r="A9" s="3" t="inlineStr">
        <is>
          <t>A08</t>
        </is>
      </c>
      <c r="B9" s="4" t="n"/>
      <c r="C9" s="3" t="n"/>
      <c r="D9" s="3" t="n"/>
      <c r="E9" s="3" t="n"/>
      <c r="F9" s="3" t="n"/>
      <c r="G9" s="3" t="n"/>
      <c r="H9" s="5">
        <f>IF(OR(F9="",G9=""),"",ROUND(G9-F9,1))</f>
        <v/>
      </c>
      <c r="I9" s="5">
        <f>IF(H9="","",IF(ABS(H9)&lt;=1,"Sim","NÃO — repetir"))</f>
        <v/>
      </c>
      <c r="J9" s="3" t="n"/>
      <c r="K9" s="3" t="n"/>
      <c r="L9" s="3" t="n"/>
      <c r="M9" s="3" t="n"/>
      <c r="N9" s="3" t="n"/>
      <c r="O9" s="5">
        <f>IF(OR(L9="",K9="",J9=""),"",ROUND(L9*J9/K9,1))</f>
        <v/>
      </c>
      <c r="P9" s="5">
        <f>IF(OR(O9="",O9&lt;=0),"",ROUND(85+10*LOG10(O9/100),1))</f>
        <v/>
      </c>
      <c r="Q9" s="5">
        <f>IF(P9="","",IF(I9="NÃO — repetir","Amostra inválida",IF(P9&gt;=85,"Acima do limite",IF(P9&gt;=82,"Nível de ação","Aceitável"))))</f>
        <v/>
      </c>
      <c r="R9" s="5">
        <f>IF(M9="","",IF(I9="NÃO — repetir","Amostra inválida",IF(M9&gt;100,"Acima do LT (insalubre)","Abaixo do LT")))</f>
        <v/>
      </c>
      <c r="S9" s="3" t="n"/>
      <c r="T9" s="3" t="n"/>
    </row>
    <row r="10">
      <c r="A10" s="3" t="inlineStr">
        <is>
          <t>A09</t>
        </is>
      </c>
      <c r="B10" s="4" t="n"/>
      <c r="C10" s="3" t="n"/>
      <c r="D10" s="3" t="n"/>
      <c r="E10" s="3" t="n"/>
      <c r="F10" s="3" t="n"/>
      <c r="G10" s="3" t="n"/>
      <c r="H10" s="5">
        <f>IF(OR(F10="",G10=""),"",ROUND(G10-F10,1))</f>
        <v/>
      </c>
      <c r="I10" s="5">
        <f>IF(H10="","",IF(ABS(H10)&lt;=1,"Sim","NÃO — repetir"))</f>
        <v/>
      </c>
      <c r="J10" s="3" t="n"/>
      <c r="K10" s="3" t="n"/>
      <c r="L10" s="3" t="n"/>
      <c r="M10" s="3" t="n"/>
      <c r="N10" s="3" t="n"/>
      <c r="O10" s="5">
        <f>IF(OR(L10="",K10="",J10=""),"",ROUND(L10*J10/K10,1))</f>
        <v/>
      </c>
      <c r="P10" s="5">
        <f>IF(OR(O10="",O10&lt;=0),"",ROUND(85+10*LOG10(O10/100),1))</f>
        <v/>
      </c>
      <c r="Q10" s="5">
        <f>IF(P10="","",IF(I10="NÃO — repetir","Amostra inválida",IF(P10&gt;=85,"Acima do limite",IF(P10&gt;=82,"Nível de ação","Aceitável"))))</f>
        <v/>
      </c>
      <c r="R10" s="5">
        <f>IF(M10="","",IF(I10="NÃO — repetir","Amostra inválida",IF(M10&gt;100,"Acima do LT (insalubre)","Abaixo do LT")))</f>
        <v/>
      </c>
      <c r="S10" s="3" t="n"/>
      <c r="T10" s="3" t="n"/>
    </row>
    <row r="11">
      <c r="A11" s="3" t="inlineStr">
        <is>
          <t>A10</t>
        </is>
      </c>
      <c r="B11" s="4" t="n"/>
      <c r="C11" s="3" t="n"/>
      <c r="D11" s="3" t="n"/>
      <c r="E11" s="3" t="n"/>
      <c r="F11" s="3" t="n"/>
      <c r="G11" s="3" t="n"/>
      <c r="H11" s="5">
        <f>IF(OR(F11="",G11=""),"",ROUND(G11-F11,1))</f>
        <v/>
      </c>
      <c r="I11" s="5">
        <f>IF(H11="","",IF(ABS(H11)&lt;=1,"Sim","NÃO — repetir"))</f>
        <v/>
      </c>
      <c r="J11" s="3" t="n"/>
      <c r="K11" s="3" t="n"/>
      <c r="L11" s="3" t="n"/>
      <c r="M11" s="3" t="n"/>
      <c r="N11" s="3" t="n"/>
      <c r="O11" s="5">
        <f>IF(OR(L11="",K11="",J11=""),"",ROUND(L11*J11/K11,1))</f>
        <v/>
      </c>
      <c r="P11" s="5">
        <f>IF(OR(O11="",O11&lt;=0),"",ROUND(85+10*LOG10(O11/100),1))</f>
        <v/>
      </c>
      <c r="Q11" s="5">
        <f>IF(P11="","",IF(I11="NÃO — repetir","Amostra inválida",IF(P11&gt;=85,"Acima do limite",IF(P11&gt;=82,"Nível de ação","Aceitável"))))</f>
        <v/>
      </c>
      <c r="R11" s="5">
        <f>IF(M11="","",IF(I11="NÃO — repetir","Amostra inválida",IF(M11&gt;100,"Acima do LT (insalubre)","Abaixo do LT")))</f>
        <v/>
      </c>
      <c r="S11" s="3" t="n"/>
      <c r="T11" s="3" t="n"/>
    </row>
    <row r="12">
      <c r="A12" s="3" t="inlineStr">
        <is>
          <t>A11</t>
        </is>
      </c>
      <c r="B12" s="4" t="n"/>
      <c r="C12" s="3" t="n"/>
      <c r="D12" s="3" t="n"/>
      <c r="E12" s="3" t="n"/>
      <c r="F12" s="3" t="n"/>
      <c r="G12" s="3" t="n"/>
      <c r="H12" s="5">
        <f>IF(OR(F12="",G12=""),"",ROUND(G12-F12,1))</f>
        <v/>
      </c>
      <c r="I12" s="5">
        <f>IF(H12="","",IF(ABS(H12)&lt;=1,"Sim","NÃO — repetir"))</f>
        <v/>
      </c>
      <c r="J12" s="3" t="n"/>
      <c r="K12" s="3" t="n"/>
      <c r="L12" s="3" t="n"/>
      <c r="M12" s="3" t="n"/>
      <c r="N12" s="3" t="n"/>
      <c r="O12" s="5">
        <f>IF(OR(L12="",K12="",J12=""),"",ROUND(L12*J12/K12,1))</f>
        <v/>
      </c>
      <c r="P12" s="5">
        <f>IF(OR(O12="",O12&lt;=0),"",ROUND(85+10*LOG10(O12/100),1))</f>
        <v/>
      </c>
      <c r="Q12" s="5">
        <f>IF(P12="","",IF(I12="NÃO — repetir","Amostra inválida",IF(P12&gt;=85,"Acima do limite",IF(P12&gt;=82,"Nível de ação","Aceitável"))))</f>
        <v/>
      </c>
      <c r="R12" s="5">
        <f>IF(M12="","",IF(I12="NÃO — repetir","Amostra inválida",IF(M12&gt;100,"Acima do LT (insalubre)","Abaixo do LT")))</f>
        <v/>
      </c>
      <c r="S12" s="3" t="n"/>
      <c r="T12" s="3" t="n"/>
    </row>
    <row r="13">
      <c r="A13" s="3" t="inlineStr">
        <is>
          <t>A12</t>
        </is>
      </c>
      <c r="B13" s="4" t="n"/>
      <c r="C13" s="3" t="n"/>
      <c r="D13" s="3" t="n"/>
      <c r="E13" s="3" t="n"/>
      <c r="F13" s="3" t="n"/>
      <c r="G13" s="3" t="n"/>
      <c r="H13" s="5">
        <f>IF(OR(F13="",G13=""),"",ROUND(G13-F13,1))</f>
        <v/>
      </c>
      <c r="I13" s="5">
        <f>IF(H13="","",IF(ABS(H13)&lt;=1,"Sim","NÃO — repetir"))</f>
        <v/>
      </c>
      <c r="J13" s="3" t="n"/>
      <c r="K13" s="3" t="n"/>
      <c r="L13" s="3" t="n"/>
      <c r="M13" s="3" t="n"/>
      <c r="N13" s="3" t="n"/>
      <c r="O13" s="5">
        <f>IF(OR(L13="",K13="",J13=""),"",ROUND(L13*J13/K13,1))</f>
        <v/>
      </c>
      <c r="P13" s="5">
        <f>IF(OR(O13="",O13&lt;=0),"",ROUND(85+10*LOG10(O13/100),1))</f>
        <v/>
      </c>
      <c r="Q13" s="5">
        <f>IF(P13="","",IF(I13="NÃO — repetir","Amostra inválida",IF(P13&gt;=85,"Acima do limite",IF(P13&gt;=82,"Nível de ação","Aceitável"))))</f>
        <v/>
      </c>
      <c r="R13" s="5">
        <f>IF(M13="","",IF(I13="NÃO — repetir","Amostra inválida",IF(M13&gt;100,"Acima do LT (insalubre)","Abaixo do LT")))</f>
        <v/>
      </c>
      <c r="S13" s="3" t="n"/>
      <c r="T13" s="3" t="n"/>
    </row>
  </sheetData>
  <conditionalFormatting sqref="Q2:Q13">
    <cfRule type="expression" priority="1" dxfId="0">
      <formula>Q2="Acima do limite"</formula>
    </cfRule>
    <cfRule type="expression" priority="2" dxfId="1">
      <formula>Q2="Nível de ação"</formula>
    </cfRule>
  </conditionalFormatting>
  <conditionalFormatting sqref="R2:R13">
    <cfRule type="expression" priority="3" dxfId="0">
      <formula>R2="Acima do LT (insalubre)"</formula>
    </cfRule>
  </conditionalFormatting>
  <conditionalFormatting sqref="I2:I13">
    <cfRule type="expression" priority="4" dxfId="0">
      <formula>I2="NÃO — repetir"</formula>
    </cfRule>
  </conditionalFormatting>
  <dataValidations count="2">
    <dataValidation sqref="C2:C13" showDropDown="0" showInputMessage="0" showErrorMessage="0" allowBlank="1" type="list">
      <formula1>"P1,P2,P3"</formula1>
    </dataValidation>
    <dataValidation sqref="S2:S13" showDropDown="0" showInputMessage="0" showErrorMessage="0" allowBlank="1" type="list">
      <formula1>"Sempre,Às vezes,Não"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2" customWidth="1" min="4" max="4"/>
    <col width="36" customWidth="1" min="5" max="5"/>
    <col width="20" customWidth="1" min="6" max="6"/>
    <col width="30" customWidth="1" min="7" max="7"/>
  </cols>
  <sheetData>
    <row r="1" ht="42" customHeight="1">
      <c r="A1" s="2" t="inlineStr">
        <is>
          <t>Amostra</t>
        </is>
      </c>
      <c r="B1" s="2" t="inlineStr">
        <is>
          <t>Início (hh:mm)</t>
        </is>
      </c>
      <c r="C1" s="2" t="inlineStr">
        <is>
          <t>Fim (hh:mm)</t>
        </is>
      </c>
      <c r="D1" s="2" t="inlineStr">
        <is>
          <t>Duração (min)</t>
        </is>
      </c>
      <c r="E1" s="2" t="inlineStr">
        <is>
          <t>Atividade</t>
        </is>
      </c>
      <c r="F1" s="2" t="inlineStr">
        <is>
          <t>Equipamento ligado</t>
        </is>
      </c>
      <c r="G1" s="2" t="inlineStr">
        <is>
          <t>Obs.</t>
        </is>
      </c>
    </row>
    <row r="2">
      <c r="A2" s="3" t="n"/>
      <c r="B2" s="6" t="n"/>
      <c r="C2" s="6" t="n"/>
      <c r="D2" s="5">
        <f>IF(OR(B2="",C2=""),"",ROUND((C2-B2)*1440,0))</f>
        <v/>
      </c>
      <c r="E2" s="3" t="n"/>
      <c r="F2" s="3" t="n"/>
      <c r="G2" s="3" t="n"/>
    </row>
    <row r="3">
      <c r="A3" s="3" t="n"/>
      <c r="B3" s="6" t="n"/>
      <c r="C3" s="6" t="n"/>
      <c r="D3" s="5">
        <f>IF(OR(B3="",C3=""),"",ROUND((C3-B3)*1440,0))</f>
        <v/>
      </c>
      <c r="E3" s="3" t="n"/>
      <c r="F3" s="3" t="n"/>
      <c r="G3" s="3" t="n"/>
    </row>
    <row r="4">
      <c r="A4" s="3" t="n"/>
      <c r="B4" s="6" t="n"/>
      <c r="C4" s="6" t="n"/>
      <c r="D4" s="5">
        <f>IF(OR(B4="",C4=""),"",ROUND((C4-B4)*1440,0))</f>
        <v/>
      </c>
      <c r="E4" s="3" t="n"/>
      <c r="F4" s="3" t="n"/>
      <c r="G4" s="3" t="n"/>
    </row>
    <row r="5">
      <c r="A5" s="3" t="n"/>
      <c r="B5" s="6" t="n"/>
      <c r="C5" s="6" t="n"/>
      <c r="D5" s="5">
        <f>IF(OR(B5="",C5=""),"",ROUND((C5-B5)*1440,0))</f>
        <v/>
      </c>
      <c r="E5" s="3" t="n"/>
      <c r="F5" s="3" t="n"/>
      <c r="G5" s="3" t="n"/>
    </row>
    <row r="6">
      <c r="A6" s="3" t="n"/>
      <c r="B6" s="6" t="n"/>
      <c r="C6" s="6" t="n"/>
      <c r="D6" s="5">
        <f>IF(OR(B6="",C6=""),"",ROUND((C6-B6)*1440,0))</f>
        <v/>
      </c>
      <c r="E6" s="3" t="n"/>
      <c r="F6" s="3" t="n"/>
      <c r="G6" s="3" t="n"/>
    </row>
    <row r="7">
      <c r="A7" s="3" t="n"/>
      <c r="B7" s="6" t="n"/>
      <c r="C7" s="6" t="n"/>
      <c r="D7" s="5">
        <f>IF(OR(B7="",C7=""),"",ROUND((C7-B7)*1440,0))</f>
        <v/>
      </c>
      <c r="E7" s="3" t="n"/>
      <c r="F7" s="3" t="n"/>
      <c r="G7" s="3" t="n"/>
    </row>
    <row r="8">
      <c r="A8" s="3" t="n"/>
      <c r="B8" s="6" t="n"/>
      <c r="C8" s="6" t="n"/>
      <c r="D8" s="5">
        <f>IF(OR(B8="",C8=""),"",ROUND((C8-B8)*1440,0))</f>
        <v/>
      </c>
      <c r="E8" s="3" t="n"/>
      <c r="F8" s="3" t="n"/>
      <c r="G8" s="3" t="n"/>
    </row>
    <row r="9">
      <c r="A9" s="3" t="n"/>
      <c r="B9" s="6" t="n"/>
      <c r="C9" s="6" t="n"/>
      <c r="D9" s="5">
        <f>IF(OR(B9="",C9=""),"",ROUND((C9-B9)*1440,0))</f>
        <v/>
      </c>
      <c r="E9" s="3" t="n"/>
      <c r="F9" s="3" t="n"/>
      <c r="G9" s="3" t="n"/>
    </row>
    <row r="10">
      <c r="A10" s="3" t="n"/>
      <c r="B10" s="6" t="n"/>
      <c r="C10" s="6" t="n"/>
      <c r="D10" s="5">
        <f>IF(OR(B10="",C10=""),"",ROUND((C10-B10)*1440,0))</f>
        <v/>
      </c>
      <c r="E10" s="3" t="n"/>
      <c r="F10" s="3" t="n"/>
      <c r="G10" s="3" t="n"/>
    </row>
    <row r="11">
      <c r="A11" s="3" t="n"/>
      <c r="B11" s="6" t="n"/>
      <c r="C11" s="6" t="n"/>
      <c r="D11" s="5">
        <f>IF(OR(B11="",C11=""),"",ROUND((C11-B11)*1440,0))</f>
        <v/>
      </c>
      <c r="E11" s="3" t="n"/>
      <c r="F11" s="3" t="n"/>
      <c r="G11" s="3" t="n"/>
    </row>
    <row r="12">
      <c r="A12" s="3" t="n"/>
      <c r="B12" s="6" t="n"/>
      <c r="C12" s="6" t="n"/>
      <c r="D12" s="5">
        <f>IF(OR(B12="",C12=""),"",ROUND((C12-B12)*1440,0))</f>
        <v/>
      </c>
      <c r="E12" s="3" t="n"/>
      <c r="F12" s="3" t="n"/>
      <c r="G12" s="3" t="n"/>
    </row>
    <row r="13">
      <c r="A13" s="3" t="n"/>
      <c r="B13" s="6" t="n"/>
      <c r="C13" s="6" t="n"/>
      <c r="D13" s="5">
        <f>IF(OR(B13="",C13=""),"",ROUND((C13-B13)*1440,0))</f>
        <v/>
      </c>
      <c r="E13" s="3" t="n"/>
      <c r="F13" s="3" t="n"/>
      <c r="G13" s="3" t="n"/>
    </row>
    <row r="14">
      <c r="A14" s="3" t="n"/>
      <c r="B14" s="6" t="n"/>
      <c r="C14" s="6" t="n"/>
      <c r="D14" s="5">
        <f>IF(OR(B14="",C14=""),"",ROUND((C14-B14)*1440,0))</f>
        <v/>
      </c>
      <c r="E14" s="3" t="n"/>
      <c r="F14" s="3" t="n"/>
      <c r="G14" s="3" t="n"/>
    </row>
    <row r="15">
      <c r="A15" s="3" t="n"/>
      <c r="B15" s="6" t="n"/>
      <c r="C15" s="6" t="n"/>
      <c r="D15" s="5">
        <f>IF(OR(B15="",C15=""),"",ROUND((C15-B15)*1440,0))</f>
        <v/>
      </c>
      <c r="E15" s="3" t="n"/>
      <c r="F15" s="3" t="n"/>
      <c r="G15" s="3" t="n"/>
    </row>
    <row r="16">
      <c r="A16" s="3" t="n"/>
      <c r="B16" s="6" t="n"/>
      <c r="C16" s="6" t="n"/>
      <c r="D16" s="5">
        <f>IF(OR(B16="",C16=""),"",ROUND((C16-B16)*1440,0))</f>
        <v/>
      </c>
      <c r="E16" s="3" t="n"/>
      <c r="F16" s="3" t="n"/>
      <c r="G16" s="3" t="n"/>
    </row>
    <row r="17">
      <c r="A17" s="3" t="n"/>
      <c r="B17" s="6" t="n"/>
      <c r="C17" s="6" t="n"/>
      <c r="D17" s="5">
        <f>IF(OR(B17="",C17=""),"",ROUND((C17-B17)*1440,0))</f>
        <v/>
      </c>
      <c r="E17" s="3" t="n"/>
      <c r="F17" s="3" t="n"/>
      <c r="G17" s="3" t="n"/>
    </row>
    <row r="18">
      <c r="A18" s="3" t="n"/>
      <c r="B18" s="6" t="n"/>
      <c r="C18" s="6" t="n"/>
      <c r="D18" s="5">
        <f>IF(OR(B18="",C18=""),"",ROUND((C18-B18)*1440,0))</f>
        <v/>
      </c>
      <c r="E18" s="3" t="n"/>
      <c r="F18" s="3" t="n"/>
      <c r="G18" s="3" t="n"/>
    </row>
    <row r="19">
      <c r="A19" s="3" t="n"/>
      <c r="B19" s="6" t="n"/>
      <c r="C19" s="6" t="n"/>
      <c r="D19" s="5">
        <f>IF(OR(B19="",C19=""),"",ROUND((C19-B19)*1440,0))</f>
        <v/>
      </c>
      <c r="E19" s="3" t="n"/>
      <c r="F19" s="3" t="n"/>
      <c r="G19" s="3" t="n"/>
    </row>
    <row r="20">
      <c r="A20" s="3" t="n"/>
      <c r="B20" s="6" t="n"/>
      <c r="C20" s="6" t="n"/>
      <c r="D20" s="5">
        <f>IF(OR(B20="",C20=""),"",ROUND((C20-B20)*1440,0))</f>
        <v/>
      </c>
      <c r="E20" s="3" t="n"/>
      <c r="F20" s="3" t="n"/>
      <c r="G20" s="3" t="n"/>
    </row>
    <row r="21">
      <c r="A21" s="3" t="n"/>
      <c r="B21" s="6" t="n"/>
      <c r="C21" s="6" t="n"/>
      <c r="D21" s="5">
        <f>IF(OR(B21="",C21=""),"",ROUND((C21-B21)*1440,0))</f>
        <v/>
      </c>
      <c r="E21" s="3" t="n"/>
      <c r="F21" s="3" t="n"/>
      <c r="G21" s="3" t="n"/>
    </row>
    <row r="22">
      <c r="A22" s="3" t="n"/>
      <c r="B22" s="6" t="n"/>
      <c r="C22" s="6" t="n"/>
      <c r="D22" s="5">
        <f>IF(OR(B22="",C22=""),"",ROUND((C22-B22)*1440,0))</f>
        <v/>
      </c>
      <c r="E22" s="3" t="n"/>
      <c r="F22" s="3" t="n"/>
      <c r="G22" s="3" t="n"/>
    </row>
    <row r="23">
      <c r="A23" s="3" t="n"/>
      <c r="B23" s="6" t="n"/>
      <c r="C23" s="6" t="n"/>
      <c r="D23" s="5">
        <f>IF(OR(B23="",C23=""),"",ROUND((C23-B23)*1440,0))</f>
        <v/>
      </c>
      <c r="E23" s="3" t="n"/>
      <c r="F23" s="3" t="n"/>
      <c r="G23" s="3" t="n"/>
    </row>
    <row r="24">
      <c r="A24" s="3" t="n"/>
      <c r="B24" s="6" t="n"/>
      <c r="C24" s="6" t="n"/>
      <c r="D24" s="5">
        <f>IF(OR(B24="",C24=""),"",ROUND((C24-B24)*1440,0))</f>
        <v/>
      </c>
      <c r="E24" s="3" t="n"/>
      <c r="F24" s="3" t="n"/>
      <c r="G24" s="3" t="n"/>
    </row>
    <row r="25">
      <c r="A25" s="3" t="n"/>
      <c r="B25" s="6" t="n"/>
      <c r="C25" s="6" t="n"/>
      <c r="D25" s="5">
        <f>IF(OR(B25="",C25=""),"",ROUND((C25-B25)*1440,0))</f>
        <v/>
      </c>
      <c r="E25" s="3" t="n"/>
      <c r="F25" s="3" t="n"/>
      <c r="G25" s="3" t="n"/>
    </row>
    <row r="26">
      <c r="A26" s="3" t="n"/>
      <c r="B26" s="6" t="n"/>
      <c r="C26" s="6" t="n"/>
      <c r="D26" s="5">
        <f>IF(OR(B26="",C26=""),"",ROUND((C26-B26)*1440,0))</f>
        <v/>
      </c>
      <c r="E26" s="3" t="n"/>
      <c r="F26" s="3" t="n"/>
      <c r="G26" s="3" t="n"/>
    </row>
    <row r="27">
      <c r="A27" s="3" t="n"/>
      <c r="B27" s="6" t="n"/>
      <c r="C27" s="6" t="n"/>
      <c r="D27" s="5">
        <f>IF(OR(B27="",C27=""),"",ROUND((C27-B27)*1440,0))</f>
        <v/>
      </c>
      <c r="E27" s="3" t="n"/>
      <c r="F27" s="3" t="n"/>
      <c r="G27" s="3" t="n"/>
    </row>
    <row r="28">
      <c r="A28" s="3" t="n"/>
      <c r="B28" s="6" t="n"/>
      <c r="C28" s="6" t="n"/>
      <c r="D28" s="5">
        <f>IF(OR(B28="",C28=""),"",ROUND((C28-B28)*1440,0))</f>
        <v/>
      </c>
      <c r="E28" s="3" t="n"/>
      <c r="F28" s="3" t="n"/>
      <c r="G28" s="3" t="n"/>
    </row>
    <row r="29">
      <c r="A29" s="3" t="n"/>
      <c r="B29" s="6" t="n"/>
      <c r="C29" s="6" t="n"/>
      <c r="D29" s="5">
        <f>IF(OR(B29="",C29=""),"",ROUND((C29-B29)*1440,0))</f>
        <v/>
      </c>
      <c r="E29" s="3" t="n"/>
      <c r="F29" s="3" t="n"/>
      <c r="G29" s="3" t="n"/>
    </row>
    <row r="30">
      <c r="A30" s="3" t="n"/>
      <c r="B30" s="6" t="n"/>
      <c r="C30" s="6" t="n"/>
      <c r="D30" s="5">
        <f>IF(OR(B30="",C30=""),"",ROUND((C30-B30)*1440,0))</f>
        <v/>
      </c>
      <c r="E30" s="3" t="n"/>
      <c r="F30" s="3" t="n"/>
      <c r="G30" s="3" t="n"/>
    </row>
    <row r="31">
      <c r="A31" s="3" t="n"/>
      <c r="B31" s="6" t="n"/>
      <c r="C31" s="6" t="n"/>
      <c r="D31" s="5">
        <f>IF(OR(B31="",C31=""),"",ROUND((C31-B31)*1440,0))</f>
        <v/>
      </c>
      <c r="E31" s="3" t="n"/>
      <c r="F31" s="3" t="n"/>
      <c r="G31" s="3" t="n"/>
    </row>
    <row r="32">
      <c r="A32" s="3" t="n"/>
      <c r="B32" s="6" t="n"/>
      <c r="C32" s="6" t="n"/>
      <c r="D32" s="5">
        <f>IF(OR(B32="",C32=""),"",ROUND((C32-B32)*1440,0))</f>
        <v/>
      </c>
      <c r="E32" s="3" t="n"/>
      <c r="F32" s="3" t="n"/>
      <c r="G32" s="3" t="n"/>
    </row>
    <row r="33">
      <c r="A33" s="3" t="n"/>
      <c r="B33" s="6" t="n"/>
      <c r="C33" s="6" t="n"/>
      <c r="D33" s="5">
        <f>IF(OR(B33="",C33=""),"",ROUND((C33-B33)*1440,0))</f>
        <v/>
      </c>
      <c r="E33" s="3" t="n"/>
      <c r="F33" s="3" t="n"/>
      <c r="G33" s="3" t="n"/>
    </row>
    <row r="34">
      <c r="A34" s="3" t="n"/>
      <c r="B34" s="6" t="n"/>
      <c r="C34" s="6" t="n"/>
      <c r="D34" s="5">
        <f>IF(OR(B34="",C34=""),"",ROUND((C34-B34)*1440,0))</f>
        <v/>
      </c>
      <c r="E34" s="3" t="n"/>
      <c r="F34" s="3" t="n"/>
      <c r="G34" s="3" t="n"/>
    </row>
    <row r="35">
      <c r="A35" s="3" t="n"/>
      <c r="B35" s="6" t="n"/>
      <c r="C35" s="6" t="n"/>
      <c r="D35" s="5">
        <f>IF(OR(B35="",C35=""),"",ROUND((C35-B35)*1440,0))</f>
        <v/>
      </c>
      <c r="E35" s="3" t="n"/>
      <c r="F35" s="3" t="n"/>
      <c r="G35" s="3" t="n"/>
    </row>
    <row r="36">
      <c r="A36" s="3" t="n"/>
      <c r="B36" s="6" t="n"/>
      <c r="C36" s="6" t="n"/>
      <c r="D36" s="5">
        <f>IF(OR(B36="",C36=""),"",ROUND((C36-B36)*1440,0))</f>
        <v/>
      </c>
      <c r="E36" s="3" t="n"/>
      <c r="F36" s="3" t="n"/>
      <c r="G36" s="3" t="n"/>
    </row>
    <row r="37">
      <c r="A37" s="3" t="n"/>
      <c r="B37" s="6" t="n"/>
      <c r="C37" s="6" t="n"/>
      <c r="D37" s="5">
        <f>IF(OR(B37="",C37=""),"",ROUND((C37-B37)*1440,0))</f>
        <v/>
      </c>
      <c r="E37" s="3" t="n"/>
      <c r="F37" s="3" t="n"/>
      <c r="G37" s="3" t="n"/>
    </row>
    <row r="38">
      <c r="A38" s="3" t="n"/>
      <c r="B38" s="6" t="n"/>
      <c r="C38" s="6" t="n"/>
      <c r="D38" s="5">
        <f>IF(OR(B38="",C38=""),"",ROUND((C38-B38)*1440,0))</f>
        <v/>
      </c>
      <c r="E38" s="3" t="n"/>
      <c r="F38" s="3" t="n"/>
      <c r="G38" s="3" t="n"/>
    </row>
    <row r="39">
      <c r="A39" s="3" t="n"/>
      <c r="B39" s="6" t="n"/>
      <c r="C39" s="6" t="n"/>
      <c r="D39" s="5">
        <f>IF(OR(B39="",C39=""),"",ROUND((C39-B39)*1440,0))</f>
        <v/>
      </c>
      <c r="E39" s="3" t="n"/>
      <c r="F39" s="3" t="n"/>
      <c r="G39" s="3" t="n"/>
    </row>
    <row r="40">
      <c r="A40" s="3" t="n"/>
      <c r="B40" s="6" t="n"/>
      <c r="C40" s="6" t="n"/>
      <c r="D40" s="5">
        <f>IF(OR(B40="",C40=""),"",ROUND((C40-B40)*1440,0))</f>
        <v/>
      </c>
      <c r="E40" s="3" t="n"/>
      <c r="F40" s="3" t="n"/>
      <c r="G40" s="3" t="n"/>
    </row>
    <row r="41">
      <c r="A41" s="3" t="n"/>
      <c r="B41" s="6" t="n"/>
      <c r="C41" s="6" t="n"/>
      <c r="D41" s="5">
        <f>IF(OR(B41="",C41=""),"",ROUND((C41-B41)*1440,0))</f>
        <v/>
      </c>
      <c r="E41" s="3" t="n"/>
      <c r="F41" s="3" t="n"/>
      <c r="G41" s="3" t="n"/>
    </row>
    <row r="42">
      <c r="A42" s="3" t="n"/>
      <c r="B42" s="6" t="n"/>
      <c r="C42" s="6" t="n"/>
      <c r="D42" s="5">
        <f>IF(OR(B42="",C42=""),"",ROUND((C42-B42)*1440,0))</f>
        <v/>
      </c>
      <c r="E42" s="3" t="n"/>
      <c r="F42" s="3" t="n"/>
      <c r="G42" s="3" t="n"/>
    </row>
    <row r="43">
      <c r="A43" s="3" t="n"/>
      <c r="B43" s="6" t="n"/>
      <c r="C43" s="6" t="n"/>
      <c r="D43" s="5">
        <f>IF(OR(B43="",C43=""),"",ROUND((C43-B43)*1440,0))</f>
        <v/>
      </c>
      <c r="E43" s="3" t="n"/>
      <c r="F43" s="3" t="n"/>
      <c r="G43" s="3" t="n"/>
    </row>
    <row r="44">
      <c r="A44" s="3" t="n"/>
      <c r="B44" s="6" t="n"/>
      <c r="C44" s="6" t="n"/>
      <c r="D44" s="5">
        <f>IF(OR(B44="",C44=""),"",ROUND((C44-B44)*1440,0))</f>
        <v/>
      </c>
      <c r="E44" s="3" t="n"/>
      <c r="F44" s="3" t="n"/>
      <c r="G44" s="3" t="n"/>
    </row>
    <row r="45">
      <c r="A45" s="3" t="n"/>
      <c r="B45" s="6" t="n"/>
      <c r="C45" s="6" t="n"/>
      <c r="D45" s="5">
        <f>IF(OR(B45="",C45=""),"",ROUND((C45-B45)*1440,0))</f>
        <v/>
      </c>
      <c r="E45" s="3" t="n"/>
      <c r="F45" s="3" t="n"/>
      <c r="G45" s="3" t="n"/>
    </row>
    <row r="46">
      <c r="A46" s="3" t="n"/>
      <c r="B46" s="6" t="n"/>
      <c r="C46" s="6" t="n"/>
      <c r="D46" s="5">
        <f>IF(OR(B46="",C46=""),"",ROUND((C46-B46)*1440,0))</f>
        <v/>
      </c>
      <c r="E46" s="3" t="n"/>
      <c r="F46" s="3" t="n"/>
      <c r="G46" s="3" t="n"/>
    </row>
    <row r="47">
      <c r="A47" s="3" t="n"/>
      <c r="B47" s="6" t="n"/>
      <c r="C47" s="6" t="n"/>
      <c r="D47" s="5">
        <f>IF(OR(B47="",C47=""),"",ROUND((C47-B47)*1440,0))</f>
        <v/>
      </c>
      <c r="E47" s="3" t="n"/>
      <c r="F47" s="3" t="n"/>
      <c r="G47" s="3" t="n"/>
    </row>
    <row r="48">
      <c r="A48" s="3" t="n"/>
      <c r="B48" s="6" t="n"/>
      <c r="C48" s="6" t="n"/>
      <c r="D48" s="5">
        <f>IF(OR(B48="",C48=""),"",ROUND((C48-B48)*1440,0))</f>
        <v/>
      </c>
      <c r="E48" s="3" t="n"/>
      <c r="F48" s="3" t="n"/>
      <c r="G48" s="3" t="n"/>
    </row>
    <row r="49">
      <c r="A49" s="3" t="n"/>
      <c r="B49" s="6" t="n"/>
      <c r="C49" s="6" t="n"/>
      <c r="D49" s="5">
        <f>IF(OR(B49="",C49=""),"",ROUND((C49-B49)*1440,0))</f>
        <v/>
      </c>
      <c r="E49" s="3" t="n"/>
      <c r="F49" s="3" t="n"/>
      <c r="G49" s="3" t="n"/>
    </row>
    <row r="50">
      <c r="A50" s="3" t="n"/>
      <c r="B50" s="6" t="n"/>
      <c r="C50" s="6" t="n"/>
      <c r="D50" s="5">
        <f>IF(OR(B50="",C50=""),"",ROUND((C50-B50)*1440,0))</f>
        <v/>
      </c>
      <c r="E50" s="3" t="n"/>
      <c r="F50" s="3" t="n"/>
      <c r="G50" s="3" t="n"/>
    </row>
    <row r="51">
      <c r="A51" s="3" t="n"/>
      <c r="B51" s="6" t="n"/>
      <c r="C51" s="6" t="n"/>
      <c r="D51" s="5">
        <f>IF(OR(B51="",C51=""),"",ROUND((C51-B51)*1440,0))</f>
        <v/>
      </c>
      <c r="E51" s="3" t="n"/>
      <c r="F51" s="3" t="n"/>
      <c r="G51" s="3" t="n"/>
    </row>
    <row r="52">
      <c r="A52" s="3" t="n"/>
      <c r="B52" s="6" t="n"/>
      <c r="C52" s="6" t="n"/>
      <c r="D52" s="5">
        <f>IF(OR(B52="",C52=""),"",ROUND((C52-B52)*1440,0))</f>
        <v/>
      </c>
      <c r="E52" s="3" t="n"/>
      <c r="F52" s="3" t="n"/>
      <c r="G52" s="3" t="n"/>
    </row>
    <row r="53">
      <c r="A53" s="3" t="n"/>
      <c r="B53" s="6" t="n"/>
      <c r="C53" s="6" t="n"/>
      <c r="D53" s="5">
        <f>IF(OR(B53="",C53=""),"",ROUND((C53-B53)*1440,0))</f>
        <v/>
      </c>
      <c r="E53" s="3" t="n"/>
      <c r="F53" s="3" t="n"/>
      <c r="G53" s="3" t="n"/>
    </row>
    <row r="54">
      <c r="A54" s="3" t="n"/>
      <c r="B54" s="6" t="n"/>
      <c r="C54" s="6" t="n"/>
      <c r="D54" s="5">
        <f>IF(OR(B54="",C54=""),"",ROUND((C54-B54)*1440,0))</f>
        <v/>
      </c>
      <c r="E54" s="3" t="n"/>
      <c r="F54" s="3" t="n"/>
      <c r="G54" s="3" t="n"/>
    </row>
    <row r="55">
      <c r="A55" s="3" t="n"/>
      <c r="B55" s="6" t="n"/>
      <c r="C55" s="6" t="n"/>
      <c r="D55" s="5">
        <f>IF(OR(B55="",C55=""),"",ROUND((C55-B55)*1440,0))</f>
        <v/>
      </c>
      <c r="E55" s="3" t="n"/>
      <c r="F55" s="3" t="n"/>
      <c r="G55" s="3" t="n"/>
    </row>
    <row r="56">
      <c r="A56" s="3" t="n"/>
      <c r="B56" s="6" t="n"/>
      <c r="C56" s="6" t="n"/>
      <c r="D56" s="5">
        <f>IF(OR(B56="",C56=""),"",ROUND((C56-B56)*1440,0))</f>
        <v/>
      </c>
      <c r="E56" s="3" t="n"/>
      <c r="F56" s="3" t="n"/>
      <c r="G56" s="3" t="n"/>
    </row>
    <row r="57">
      <c r="A57" s="3" t="n"/>
      <c r="B57" s="6" t="n"/>
      <c r="C57" s="6" t="n"/>
      <c r="D57" s="5">
        <f>IF(OR(B57="",C57=""),"",ROUND((C57-B57)*1440,0))</f>
        <v/>
      </c>
      <c r="E57" s="3" t="n"/>
      <c r="F57" s="3" t="n"/>
      <c r="G57" s="3" t="n"/>
    </row>
    <row r="58">
      <c r="A58" s="3" t="n"/>
      <c r="B58" s="6" t="n"/>
      <c r="C58" s="6" t="n"/>
      <c r="D58" s="5">
        <f>IF(OR(B58="",C58=""),"",ROUND((C58-B58)*1440,0))</f>
        <v/>
      </c>
      <c r="E58" s="3" t="n"/>
      <c r="F58" s="3" t="n"/>
      <c r="G58" s="3" t="n"/>
    </row>
    <row r="59">
      <c r="A59" s="3" t="n"/>
      <c r="B59" s="6" t="n"/>
      <c r="C59" s="6" t="n"/>
      <c r="D59" s="5">
        <f>IF(OR(B59="",C59=""),"",ROUND((C59-B59)*1440,0))</f>
        <v/>
      </c>
      <c r="E59" s="3" t="n"/>
      <c r="F59" s="3" t="n"/>
      <c r="G59" s="3" t="n"/>
    </row>
    <row r="60">
      <c r="A60" s="3" t="n"/>
      <c r="B60" s="6" t="n"/>
      <c r="C60" s="6" t="n"/>
      <c r="D60" s="5">
        <f>IF(OR(B60="",C60=""),"",ROUND((C60-B60)*1440,0))</f>
        <v/>
      </c>
      <c r="E60" s="3" t="n"/>
      <c r="F60" s="3" t="n"/>
      <c r="G60" s="3" t="n"/>
    </row>
    <row r="61">
      <c r="A61" s="3" t="n"/>
      <c r="B61" s="6" t="n"/>
      <c r="C61" s="6" t="n"/>
      <c r="D61" s="5">
        <f>IF(OR(B61="",C61=""),"",ROUND((C61-B61)*1440,0))</f>
        <v/>
      </c>
      <c r="E61" s="3" t="n"/>
      <c r="F61" s="3" t="n"/>
      <c r="G61" s="3" t="n"/>
    </row>
    <row r="62">
      <c r="A62" s="3" t="n"/>
      <c r="B62" s="6" t="n"/>
      <c r="C62" s="6" t="n"/>
      <c r="D62" s="5">
        <f>IF(OR(B62="",C62=""),"",ROUND((C62-B62)*1440,0))</f>
        <v/>
      </c>
      <c r="E62" s="3" t="n"/>
      <c r="F62" s="3" t="n"/>
      <c r="G62" s="3" t="n"/>
    </row>
    <row r="63">
      <c r="A63" s="3" t="n"/>
      <c r="B63" s="6" t="n"/>
      <c r="C63" s="6" t="n"/>
      <c r="D63" s="5">
        <f>IF(OR(B63="",C63=""),"",ROUND((C63-B63)*1440,0))</f>
        <v/>
      </c>
      <c r="E63" s="3" t="n"/>
      <c r="F63" s="3" t="n"/>
      <c r="G63" s="3" t="n"/>
    </row>
    <row r="64">
      <c r="A64" s="3" t="n"/>
      <c r="B64" s="6" t="n"/>
      <c r="C64" s="6" t="n"/>
      <c r="D64" s="5">
        <f>IF(OR(B64="",C64=""),"",ROUND((C64-B64)*1440,0))</f>
        <v/>
      </c>
      <c r="E64" s="3" t="n"/>
      <c r="F64" s="3" t="n"/>
      <c r="G64" s="3" t="n"/>
    </row>
    <row r="65">
      <c r="A65" s="3" t="n"/>
      <c r="B65" s="6" t="n"/>
      <c r="C65" s="6" t="n"/>
      <c r="D65" s="5">
        <f>IF(OR(B65="",C65=""),"",ROUND((C65-B65)*1440,0))</f>
        <v/>
      </c>
      <c r="E65" s="3" t="n"/>
      <c r="F65" s="3" t="n"/>
      <c r="G65" s="3" t="n"/>
    </row>
    <row r="66">
      <c r="A66" s="3" t="n"/>
      <c r="B66" s="6" t="n"/>
      <c r="C66" s="6" t="n"/>
      <c r="D66" s="5">
        <f>IF(OR(B66="",C66=""),"",ROUND((C66-B66)*1440,0))</f>
        <v/>
      </c>
      <c r="E66" s="3" t="n"/>
      <c r="F66" s="3" t="n"/>
      <c r="G66" s="3" t="n"/>
    </row>
    <row r="67">
      <c r="A67" s="3" t="n"/>
      <c r="B67" s="6" t="n"/>
      <c r="C67" s="6" t="n"/>
      <c r="D67" s="5">
        <f>IF(OR(B67="",C67=""),"",ROUND((C67-B67)*1440,0))</f>
        <v/>
      </c>
      <c r="E67" s="3" t="n"/>
      <c r="F67" s="3" t="n"/>
      <c r="G67" s="3" t="n"/>
    </row>
    <row r="68">
      <c r="A68" s="3" t="n"/>
      <c r="B68" s="6" t="n"/>
      <c r="C68" s="6" t="n"/>
      <c r="D68" s="5">
        <f>IF(OR(B68="",C68=""),"",ROUND((C68-B68)*1440,0))</f>
        <v/>
      </c>
      <c r="E68" s="3" t="n"/>
      <c r="F68" s="3" t="n"/>
      <c r="G68" s="3" t="n"/>
    </row>
    <row r="69">
      <c r="A69" s="3" t="n"/>
      <c r="B69" s="6" t="n"/>
      <c r="C69" s="6" t="n"/>
      <c r="D69" s="5">
        <f>IF(OR(B69="",C69=""),"",ROUND((C69-B69)*1440,0))</f>
        <v/>
      </c>
      <c r="E69" s="3" t="n"/>
      <c r="F69" s="3" t="n"/>
      <c r="G69" s="3" t="n"/>
    </row>
    <row r="70">
      <c r="A70" s="3" t="n"/>
      <c r="B70" s="6" t="n"/>
      <c r="C70" s="6" t="n"/>
      <c r="D70" s="5">
        <f>IF(OR(B70="",C70=""),"",ROUND((C70-B70)*1440,0))</f>
        <v/>
      </c>
      <c r="E70" s="3" t="n"/>
      <c r="F70" s="3" t="n"/>
      <c r="G70" s="3" t="n"/>
    </row>
    <row r="71">
      <c r="A71" s="3" t="n"/>
      <c r="B71" s="6" t="n"/>
      <c r="C71" s="6" t="n"/>
      <c r="D71" s="5">
        <f>IF(OR(B71="",C71=""),"",ROUND((C71-B71)*1440,0))</f>
        <v/>
      </c>
      <c r="E71" s="3" t="n"/>
      <c r="F71" s="3" t="n"/>
      <c r="G71" s="3" t="n"/>
    </row>
    <row r="72">
      <c r="A72" s="3" t="n"/>
      <c r="B72" s="6" t="n"/>
      <c r="C72" s="6" t="n"/>
      <c r="D72" s="5">
        <f>IF(OR(B72="",C72=""),"",ROUND((C72-B72)*1440,0))</f>
        <v/>
      </c>
      <c r="E72" s="3" t="n"/>
      <c r="F72" s="3" t="n"/>
      <c r="G72" s="3" t="n"/>
    </row>
    <row r="73">
      <c r="A73" s="3" t="n"/>
      <c r="B73" s="6" t="n"/>
      <c r="C73" s="6" t="n"/>
      <c r="D73" s="5">
        <f>IF(OR(B73="",C73=""),"",ROUND((C73-B73)*1440,0))</f>
        <v/>
      </c>
      <c r="E73" s="3" t="n"/>
      <c r="F73" s="3" t="n"/>
      <c r="G73" s="3" t="n"/>
    </row>
    <row r="74">
      <c r="A74" s="3" t="n"/>
      <c r="B74" s="6" t="n"/>
      <c r="C74" s="6" t="n"/>
      <c r="D74" s="5">
        <f>IF(OR(B74="",C74=""),"",ROUND((C74-B74)*1440,0))</f>
        <v/>
      </c>
      <c r="E74" s="3" t="n"/>
      <c r="F74" s="3" t="n"/>
      <c r="G74" s="3" t="n"/>
    </row>
    <row r="75">
      <c r="A75" s="3" t="n"/>
      <c r="B75" s="6" t="n"/>
      <c r="C75" s="6" t="n"/>
      <c r="D75" s="5">
        <f>IF(OR(B75="",C75=""),"",ROUND((C75-B75)*1440,0))</f>
        <v/>
      </c>
      <c r="E75" s="3" t="n"/>
      <c r="F75" s="3" t="n"/>
      <c r="G75" s="3" t="n"/>
    </row>
    <row r="76">
      <c r="A76" s="3" t="n"/>
      <c r="B76" s="6" t="n"/>
      <c r="C76" s="6" t="n"/>
      <c r="D76" s="5">
        <f>IF(OR(B76="",C76=""),"",ROUND((C76-B76)*1440,0))</f>
        <v/>
      </c>
      <c r="E76" s="3" t="n"/>
      <c r="F76" s="3" t="n"/>
      <c r="G76" s="3" t="n"/>
    </row>
    <row r="77">
      <c r="A77" s="3" t="n"/>
      <c r="B77" s="6" t="n"/>
      <c r="C77" s="6" t="n"/>
      <c r="D77" s="5">
        <f>IF(OR(B77="",C77=""),"",ROUND((C77-B77)*1440,0))</f>
        <v/>
      </c>
      <c r="E77" s="3" t="n"/>
      <c r="F77" s="3" t="n"/>
      <c r="G77" s="3" t="n"/>
    </row>
    <row r="78">
      <c r="A78" s="3" t="n"/>
      <c r="B78" s="6" t="n"/>
      <c r="C78" s="6" t="n"/>
      <c r="D78" s="5">
        <f>IF(OR(B78="",C78=""),"",ROUND((C78-B78)*1440,0))</f>
        <v/>
      </c>
      <c r="E78" s="3" t="n"/>
      <c r="F78" s="3" t="n"/>
      <c r="G78" s="3" t="n"/>
    </row>
    <row r="79">
      <c r="A79" s="3" t="n"/>
      <c r="B79" s="6" t="n"/>
      <c r="C79" s="6" t="n"/>
      <c r="D79" s="5">
        <f>IF(OR(B79="",C79=""),"",ROUND((C79-B79)*1440,0))</f>
        <v/>
      </c>
      <c r="E79" s="3" t="n"/>
      <c r="F79" s="3" t="n"/>
      <c r="G79" s="3" t="n"/>
    </row>
    <row r="80">
      <c r="A80" s="3" t="n"/>
      <c r="B80" s="6" t="n"/>
      <c r="C80" s="6" t="n"/>
      <c r="D80" s="5">
        <f>IF(OR(B80="",C80=""),"",ROUND((C80-B80)*1440,0))</f>
        <v/>
      </c>
      <c r="E80" s="3" t="n"/>
      <c r="F80" s="3" t="n"/>
      <c r="G80" s="3" t="n"/>
    </row>
    <row r="81">
      <c r="A81" s="3" t="n"/>
      <c r="B81" s="6" t="n"/>
      <c r="C81" s="6" t="n"/>
      <c r="D81" s="5">
        <f>IF(OR(B81="",C81=""),"",ROUND((C81-B81)*1440,0))</f>
        <v/>
      </c>
      <c r="E81" s="3" t="n"/>
      <c r="F81" s="3" t="n"/>
      <c r="G81" s="3" t="n"/>
    </row>
    <row r="82">
      <c r="A82" s="3" t="n"/>
      <c r="B82" s="6" t="n"/>
      <c r="C82" s="6" t="n"/>
      <c r="D82" s="5">
        <f>IF(OR(B82="",C82=""),"",ROUND((C82-B82)*1440,0))</f>
        <v/>
      </c>
      <c r="E82" s="3" t="n"/>
      <c r="F82" s="3" t="n"/>
      <c r="G82" s="3" t="n"/>
    </row>
    <row r="83">
      <c r="A83" s="3" t="n"/>
      <c r="B83" s="6" t="n"/>
      <c r="C83" s="6" t="n"/>
      <c r="D83" s="5">
        <f>IF(OR(B83="",C83=""),"",ROUND((C83-B83)*1440,0))</f>
        <v/>
      </c>
      <c r="E83" s="3" t="n"/>
      <c r="F83" s="3" t="n"/>
      <c r="G83" s="3" t="n"/>
    </row>
    <row r="84">
      <c r="A84" s="3" t="n"/>
      <c r="B84" s="6" t="n"/>
      <c r="C84" s="6" t="n"/>
      <c r="D84" s="5">
        <f>IF(OR(B84="",C84=""),"",ROUND((C84-B84)*1440,0))</f>
        <v/>
      </c>
      <c r="E84" s="3" t="n"/>
      <c r="F84" s="3" t="n"/>
      <c r="G84" s="3" t="n"/>
    </row>
    <row r="85">
      <c r="A85" s="3" t="n"/>
      <c r="B85" s="6" t="n"/>
      <c r="C85" s="6" t="n"/>
      <c r="D85" s="5">
        <f>IF(OR(B85="",C85=""),"",ROUND((C85-B85)*1440,0))</f>
        <v/>
      </c>
      <c r="E85" s="3" t="n"/>
      <c r="F85" s="3" t="n"/>
      <c r="G85" s="3" t="n"/>
    </row>
    <row r="86">
      <c r="A86" s="3" t="n"/>
      <c r="B86" s="6" t="n"/>
      <c r="C86" s="6" t="n"/>
      <c r="D86" s="5">
        <f>IF(OR(B86="",C86=""),"",ROUND((C86-B86)*1440,0))</f>
        <v/>
      </c>
      <c r="E86" s="3" t="n"/>
      <c r="F86" s="3" t="n"/>
      <c r="G86" s="3" t="n"/>
    </row>
    <row r="87">
      <c r="A87" s="3" t="n"/>
      <c r="B87" s="6" t="n"/>
      <c r="C87" s="6" t="n"/>
      <c r="D87" s="5">
        <f>IF(OR(B87="",C87=""),"",ROUND((C87-B87)*1440,0))</f>
        <v/>
      </c>
      <c r="E87" s="3" t="n"/>
      <c r="F87" s="3" t="n"/>
      <c r="G87" s="3" t="n"/>
    </row>
    <row r="88">
      <c r="A88" s="3" t="n"/>
      <c r="B88" s="6" t="n"/>
      <c r="C88" s="6" t="n"/>
      <c r="D88" s="5">
        <f>IF(OR(B88="",C88=""),"",ROUND((C88-B88)*1440,0))</f>
        <v/>
      </c>
      <c r="E88" s="3" t="n"/>
      <c r="F88" s="3" t="n"/>
      <c r="G88" s="3" t="n"/>
    </row>
    <row r="89">
      <c r="A89" s="3" t="n"/>
      <c r="B89" s="6" t="n"/>
      <c r="C89" s="6" t="n"/>
      <c r="D89" s="5">
        <f>IF(OR(B89="",C89=""),"",ROUND((C89-B89)*1440,0))</f>
        <v/>
      </c>
      <c r="E89" s="3" t="n"/>
      <c r="F89" s="3" t="n"/>
      <c r="G89" s="3" t="n"/>
    </row>
    <row r="90">
      <c r="A90" s="3" t="n"/>
      <c r="B90" s="6" t="n"/>
      <c r="C90" s="6" t="n"/>
      <c r="D90" s="5">
        <f>IF(OR(B90="",C90=""),"",ROUND((C90-B90)*1440,0))</f>
        <v/>
      </c>
      <c r="E90" s="3" t="n"/>
      <c r="F90" s="3" t="n"/>
      <c r="G90" s="3" t="n"/>
    </row>
    <row r="91">
      <c r="A91" s="3" t="n"/>
      <c r="B91" s="6" t="n"/>
      <c r="C91" s="6" t="n"/>
      <c r="D91" s="5">
        <f>IF(OR(B91="",C91=""),"",ROUND((C91-B91)*1440,0))</f>
        <v/>
      </c>
      <c r="E91" s="3" t="n"/>
      <c r="F91" s="3" t="n"/>
      <c r="G91" s="3" t="n"/>
    </row>
    <row r="92">
      <c r="A92" s="3" t="n"/>
      <c r="B92" s="6" t="n"/>
      <c r="C92" s="6" t="n"/>
      <c r="D92" s="5">
        <f>IF(OR(B92="",C92=""),"",ROUND((C92-B92)*1440,0))</f>
        <v/>
      </c>
      <c r="E92" s="3" t="n"/>
      <c r="F92" s="3" t="n"/>
      <c r="G92" s="3" t="n"/>
    </row>
    <row r="93">
      <c r="A93" s="3" t="n"/>
      <c r="B93" s="6" t="n"/>
      <c r="C93" s="6" t="n"/>
      <c r="D93" s="5">
        <f>IF(OR(B93="",C93=""),"",ROUND((C93-B93)*1440,0))</f>
        <v/>
      </c>
      <c r="E93" s="3" t="n"/>
      <c r="F93" s="3" t="n"/>
      <c r="G93" s="3" t="n"/>
    </row>
    <row r="94">
      <c r="A94" s="3" t="n"/>
      <c r="B94" s="6" t="n"/>
      <c r="C94" s="6" t="n"/>
      <c r="D94" s="5">
        <f>IF(OR(B94="",C94=""),"",ROUND((C94-B94)*1440,0))</f>
        <v/>
      </c>
      <c r="E94" s="3" t="n"/>
      <c r="F94" s="3" t="n"/>
      <c r="G94" s="3" t="n"/>
    </row>
    <row r="95">
      <c r="A95" s="3" t="n"/>
      <c r="B95" s="6" t="n"/>
      <c r="C95" s="6" t="n"/>
      <c r="D95" s="5">
        <f>IF(OR(B95="",C95=""),"",ROUND((C95-B95)*1440,0))</f>
        <v/>
      </c>
      <c r="E95" s="3" t="n"/>
      <c r="F95" s="3" t="n"/>
      <c r="G95" s="3" t="n"/>
    </row>
    <row r="96">
      <c r="A96" s="3" t="n"/>
      <c r="B96" s="6" t="n"/>
      <c r="C96" s="6" t="n"/>
      <c r="D96" s="5">
        <f>IF(OR(B96="",C96=""),"",ROUND((C96-B96)*1440,0))</f>
        <v/>
      </c>
      <c r="E96" s="3" t="n"/>
      <c r="F96" s="3" t="n"/>
      <c r="G96" s="3" t="n"/>
    </row>
    <row r="97">
      <c r="A97" s="3" t="n"/>
      <c r="B97" s="6" t="n"/>
      <c r="C97" s="6" t="n"/>
      <c r="D97" s="5">
        <f>IF(OR(B97="",C97=""),"",ROUND((C97-B97)*1440,0))</f>
        <v/>
      </c>
      <c r="E97" s="3" t="n"/>
      <c r="F97" s="3" t="n"/>
      <c r="G97" s="3" t="n"/>
    </row>
    <row r="98">
      <c r="A98" s="3" t="n"/>
      <c r="B98" s="6" t="n"/>
      <c r="C98" s="6" t="n"/>
      <c r="D98" s="5">
        <f>IF(OR(B98="",C98=""),"",ROUND((C98-B98)*1440,0))</f>
        <v/>
      </c>
      <c r="E98" s="3" t="n"/>
      <c r="F98" s="3" t="n"/>
      <c r="G98" s="3" t="n"/>
    </row>
    <row r="99">
      <c r="A99" s="3" t="n"/>
      <c r="B99" s="6" t="n"/>
      <c r="C99" s="6" t="n"/>
      <c r="D99" s="5">
        <f>IF(OR(B99="",C99=""),"",ROUND((C99-B99)*1440,0))</f>
        <v/>
      </c>
      <c r="E99" s="3" t="n"/>
      <c r="F99" s="3" t="n"/>
      <c r="G99" s="3" t="n"/>
    </row>
    <row r="100">
      <c r="A100" s="3" t="n"/>
      <c r="B100" s="6" t="n"/>
      <c r="C100" s="6" t="n"/>
      <c r="D100" s="5">
        <f>IF(OR(B100="",C100=""),"",ROUND((C100-B100)*1440,0))</f>
        <v/>
      </c>
      <c r="E100" s="3" t="n"/>
      <c r="F100" s="3" t="n"/>
      <c r="G100" s="3" t="n"/>
    </row>
    <row r="101">
      <c r="A101" s="3" t="n"/>
      <c r="B101" s="6" t="n"/>
      <c r="C101" s="6" t="n"/>
      <c r="D101" s="5">
        <f>IF(OR(B101="",C101=""),"",ROUND((C101-B101)*1440,0))</f>
        <v/>
      </c>
      <c r="E101" s="3" t="n"/>
      <c r="F101" s="3" t="n"/>
      <c r="G101" s="3" t="n"/>
    </row>
    <row r="102">
      <c r="A102" s="3" t="n"/>
      <c r="B102" s="6" t="n"/>
      <c r="C102" s="6" t="n"/>
      <c r="D102" s="5">
        <f>IF(OR(B102="",C102=""),"",ROUND((C102-B102)*1440,0))</f>
        <v/>
      </c>
      <c r="E102" s="3" t="n"/>
      <c r="F102" s="3" t="n"/>
      <c r="G102" s="3" t="n"/>
    </row>
    <row r="103">
      <c r="A103" s="3" t="n"/>
      <c r="B103" s="6" t="n"/>
      <c r="C103" s="6" t="n"/>
      <c r="D103" s="5">
        <f>IF(OR(B103="",C103=""),"",ROUND((C103-B103)*1440,0))</f>
        <v/>
      </c>
      <c r="E103" s="3" t="n"/>
      <c r="F103" s="3" t="n"/>
      <c r="G103" s="3" t="n"/>
    </row>
    <row r="104">
      <c r="A104" s="3" t="n"/>
      <c r="B104" s="6" t="n"/>
      <c r="C104" s="6" t="n"/>
      <c r="D104" s="5">
        <f>IF(OR(B104="",C104=""),"",ROUND((C104-B104)*1440,0))</f>
        <v/>
      </c>
      <c r="E104" s="3" t="n"/>
      <c r="F104" s="3" t="n"/>
      <c r="G104" s="3" t="n"/>
    </row>
    <row r="105">
      <c r="A105" s="3" t="n"/>
      <c r="B105" s="6" t="n"/>
      <c r="C105" s="6" t="n"/>
      <c r="D105" s="5">
        <f>IF(OR(B105="",C105=""),"",ROUND((C105-B105)*1440,0))</f>
        <v/>
      </c>
      <c r="E105" s="3" t="n"/>
      <c r="F105" s="3" t="n"/>
      <c r="G105" s="3" t="n"/>
    </row>
    <row r="106">
      <c r="A106" s="3" t="n"/>
      <c r="B106" s="6" t="n"/>
      <c r="C106" s="6" t="n"/>
      <c r="D106" s="5">
        <f>IF(OR(B106="",C106=""),"",ROUND((C106-B106)*1440,0))</f>
        <v/>
      </c>
      <c r="E106" s="3" t="n"/>
      <c r="F106" s="3" t="n"/>
      <c r="G106" s="3" t="n"/>
    </row>
    <row r="107">
      <c r="A107" s="3" t="n"/>
      <c r="B107" s="6" t="n"/>
      <c r="C107" s="6" t="n"/>
      <c r="D107" s="5">
        <f>IF(OR(B107="",C107=""),"",ROUND((C107-B107)*1440,0))</f>
        <v/>
      </c>
      <c r="E107" s="3" t="n"/>
      <c r="F107" s="3" t="n"/>
      <c r="G107" s="3" t="n"/>
    </row>
    <row r="108">
      <c r="A108" s="3" t="n"/>
      <c r="B108" s="6" t="n"/>
      <c r="C108" s="6" t="n"/>
      <c r="D108" s="5">
        <f>IF(OR(B108="",C108=""),"",ROUND((C108-B108)*1440,0))</f>
        <v/>
      </c>
      <c r="E108" s="3" t="n"/>
      <c r="F108" s="3" t="n"/>
      <c r="G108" s="3" t="n"/>
    </row>
    <row r="109">
      <c r="A109" s="3" t="n"/>
      <c r="B109" s="6" t="n"/>
      <c r="C109" s="6" t="n"/>
      <c r="D109" s="5">
        <f>IF(OR(B109="",C109=""),"",ROUND((C109-B109)*1440,0))</f>
        <v/>
      </c>
      <c r="E109" s="3" t="n"/>
      <c r="F109" s="3" t="n"/>
      <c r="G109" s="3" t="n"/>
    </row>
    <row r="110">
      <c r="A110" s="3" t="n"/>
      <c r="B110" s="6" t="n"/>
      <c r="C110" s="6" t="n"/>
      <c r="D110" s="5">
        <f>IF(OR(B110="",C110=""),"",ROUND((C110-B110)*1440,0))</f>
        <v/>
      </c>
      <c r="E110" s="3" t="n"/>
      <c r="F110" s="3" t="n"/>
      <c r="G110" s="3" t="n"/>
    </row>
    <row r="111">
      <c r="A111" s="3" t="n"/>
      <c r="B111" s="6" t="n"/>
      <c r="C111" s="6" t="n"/>
      <c r="D111" s="5">
        <f>IF(OR(B111="",C111=""),"",ROUND((C111-B111)*1440,0))</f>
        <v/>
      </c>
      <c r="E111" s="3" t="n"/>
      <c r="F111" s="3" t="n"/>
      <c r="G111" s="3" t="n"/>
    </row>
    <row r="112">
      <c r="A112" s="3" t="n"/>
      <c r="B112" s="6" t="n"/>
      <c r="C112" s="6" t="n"/>
      <c r="D112" s="5">
        <f>IF(OR(B112="",C112=""),"",ROUND((C112-B112)*1440,0))</f>
        <v/>
      </c>
      <c r="E112" s="3" t="n"/>
      <c r="F112" s="3" t="n"/>
      <c r="G112" s="3" t="n"/>
    </row>
    <row r="113">
      <c r="A113" s="3" t="n"/>
      <c r="B113" s="6" t="n"/>
      <c r="C113" s="6" t="n"/>
      <c r="D113" s="5">
        <f>IF(OR(B113="",C113=""),"",ROUND((C113-B113)*1440,0))</f>
        <v/>
      </c>
      <c r="E113" s="3" t="n"/>
      <c r="F113" s="3" t="n"/>
      <c r="G113" s="3" t="n"/>
    </row>
    <row r="114">
      <c r="A114" s="3" t="n"/>
      <c r="B114" s="6" t="n"/>
      <c r="C114" s="6" t="n"/>
      <c r="D114" s="5">
        <f>IF(OR(B114="",C114=""),"",ROUND((C114-B114)*1440,0))</f>
        <v/>
      </c>
      <c r="E114" s="3" t="n"/>
      <c r="F114" s="3" t="n"/>
      <c r="G114" s="3" t="n"/>
    </row>
    <row r="115">
      <c r="A115" s="3" t="n"/>
      <c r="B115" s="6" t="n"/>
      <c r="C115" s="6" t="n"/>
      <c r="D115" s="5">
        <f>IF(OR(B115="",C115=""),"",ROUND((C115-B115)*1440,0))</f>
        <v/>
      </c>
      <c r="E115" s="3" t="n"/>
      <c r="F115" s="3" t="n"/>
      <c r="G115" s="3" t="n"/>
    </row>
    <row r="116">
      <c r="A116" s="3" t="n"/>
      <c r="B116" s="6" t="n"/>
      <c r="C116" s="6" t="n"/>
      <c r="D116" s="5">
        <f>IF(OR(B116="",C116=""),"",ROUND((C116-B116)*1440,0))</f>
        <v/>
      </c>
      <c r="E116" s="3" t="n"/>
      <c r="F116" s="3" t="n"/>
      <c r="G116" s="3" t="n"/>
    </row>
    <row r="117">
      <c r="A117" s="3" t="n"/>
      <c r="B117" s="6" t="n"/>
      <c r="C117" s="6" t="n"/>
      <c r="D117" s="5">
        <f>IF(OR(B117="",C117=""),"",ROUND((C117-B117)*1440,0))</f>
        <v/>
      </c>
      <c r="E117" s="3" t="n"/>
      <c r="F117" s="3" t="n"/>
      <c r="G117" s="3" t="n"/>
    </row>
    <row r="118">
      <c r="A118" s="3" t="n"/>
      <c r="B118" s="6" t="n"/>
      <c r="C118" s="6" t="n"/>
      <c r="D118" s="5">
        <f>IF(OR(B118="",C118=""),"",ROUND((C118-B118)*1440,0))</f>
        <v/>
      </c>
      <c r="E118" s="3" t="n"/>
      <c r="F118" s="3" t="n"/>
      <c r="G118" s="3" t="n"/>
    </row>
    <row r="119">
      <c r="A119" s="3" t="n"/>
      <c r="B119" s="6" t="n"/>
      <c r="C119" s="6" t="n"/>
      <c r="D119" s="5">
        <f>IF(OR(B119="",C119=""),"",ROUND((C119-B119)*1440,0))</f>
        <v/>
      </c>
      <c r="E119" s="3" t="n"/>
      <c r="F119" s="3" t="n"/>
      <c r="G119" s="3" t="n"/>
    </row>
    <row r="120">
      <c r="A120" s="3" t="n"/>
      <c r="B120" s="6" t="n"/>
      <c r="C120" s="6" t="n"/>
      <c r="D120" s="5">
        <f>IF(OR(B120="",C120=""),"",ROUND((C120-B120)*1440,0))</f>
        <v/>
      </c>
      <c r="E120" s="3" t="n"/>
      <c r="F120" s="3" t="n"/>
      <c r="G120" s="3" t="n"/>
    </row>
    <row r="121">
      <c r="A121" s="3" t="n"/>
      <c r="B121" s="6" t="n"/>
      <c r="C121" s="6" t="n"/>
      <c r="D121" s="5">
        <f>IF(OR(B121="",C121=""),"",ROUND((C121-B121)*1440,0))</f>
        <v/>
      </c>
      <c r="E121" s="3" t="n"/>
      <c r="F121" s="3" t="n"/>
      <c r="G121" s="3" t="n"/>
    </row>
    <row r="122">
      <c r="A122" s="3" t="n"/>
      <c r="B122" s="6" t="n"/>
      <c r="C122" s="6" t="n"/>
      <c r="D122" s="5">
        <f>IF(OR(B122="",C122=""),"",ROUND((C122-B122)*1440,0))</f>
        <v/>
      </c>
      <c r="E122" s="3" t="n"/>
      <c r="F122" s="3" t="n"/>
      <c r="G122" s="3" t="n"/>
    </row>
    <row r="123">
      <c r="A123" s="3" t="n"/>
      <c r="B123" s="6" t="n"/>
      <c r="C123" s="6" t="n"/>
      <c r="D123" s="5">
        <f>IF(OR(B123="",C123=""),"",ROUND((C123-B123)*1440,0))</f>
        <v/>
      </c>
      <c r="E123" s="3" t="n"/>
      <c r="F123" s="3" t="n"/>
      <c r="G123" s="3" t="n"/>
    </row>
    <row r="124">
      <c r="A124" s="3" t="n"/>
      <c r="B124" s="6" t="n"/>
      <c r="C124" s="6" t="n"/>
      <c r="D124" s="5">
        <f>IF(OR(B124="",C124=""),"",ROUND((C124-B124)*1440,0))</f>
        <v/>
      </c>
      <c r="E124" s="3" t="n"/>
      <c r="F124" s="3" t="n"/>
      <c r="G124" s="3" t="n"/>
    </row>
    <row r="125">
      <c r="A125" s="3" t="n"/>
      <c r="B125" s="6" t="n"/>
      <c r="C125" s="6" t="n"/>
      <c r="D125" s="5">
        <f>IF(OR(B125="",C125=""),"",ROUND((C125-B125)*1440,0))</f>
        <v/>
      </c>
      <c r="E125" s="3" t="n"/>
      <c r="F125" s="3" t="n"/>
      <c r="G125" s="3" t="n"/>
    </row>
    <row r="126">
      <c r="A126" s="3" t="n"/>
      <c r="B126" s="6" t="n"/>
      <c r="C126" s="6" t="n"/>
      <c r="D126" s="5">
        <f>IF(OR(B126="",C126=""),"",ROUND((C126-B126)*1440,0))</f>
        <v/>
      </c>
      <c r="E126" s="3" t="n"/>
      <c r="F126" s="3" t="n"/>
      <c r="G126" s="3" t="n"/>
    </row>
    <row r="127">
      <c r="A127" s="3" t="n"/>
      <c r="B127" s="6" t="n"/>
      <c r="C127" s="6" t="n"/>
      <c r="D127" s="5">
        <f>IF(OR(B127="",C127=""),"",ROUND((C127-B127)*1440,0))</f>
        <v/>
      </c>
      <c r="E127" s="3" t="n"/>
      <c r="F127" s="3" t="n"/>
      <c r="G127" s="3" t="n"/>
    </row>
    <row r="128">
      <c r="A128" s="3" t="n"/>
      <c r="B128" s="6" t="n"/>
      <c r="C128" s="6" t="n"/>
      <c r="D128" s="5">
        <f>IF(OR(B128="",C128=""),"",ROUND((C128-B128)*1440,0))</f>
        <v/>
      </c>
      <c r="E128" s="3" t="n"/>
      <c r="F128" s="3" t="n"/>
      <c r="G128" s="3" t="n"/>
    </row>
    <row r="129">
      <c r="A129" s="3" t="n"/>
      <c r="B129" s="6" t="n"/>
      <c r="C129" s="6" t="n"/>
      <c r="D129" s="5">
        <f>IF(OR(B129="",C129=""),"",ROUND((C129-B129)*1440,0))</f>
        <v/>
      </c>
      <c r="E129" s="3" t="n"/>
      <c r="F129" s="3" t="n"/>
      <c r="G129" s="3" t="n"/>
    </row>
    <row r="130">
      <c r="A130" s="3" t="n"/>
      <c r="B130" s="6" t="n"/>
      <c r="C130" s="6" t="n"/>
      <c r="D130" s="5">
        <f>IF(OR(B130="",C130=""),"",ROUND((C130-B130)*1440,0))</f>
        <v/>
      </c>
      <c r="E130" s="3" t="n"/>
      <c r="F130" s="3" t="n"/>
      <c r="G130" s="3" t="n"/>
    </row>
    <row r="131">
      <c r="A131" s="3" t="n"/>
      <c r="B131" s="6" t="n"/>
      <c r="C131" s="6" t="n"/>
      <c r="D131" s="5">
        <f>IF(OR(B131="",C131=""),"",ROUND((C131-B131)*1440,0))</f>
        <v/>
      </c>
      <c r="E131" s="3" t="n"/>
      <c r="F131" s="3" t="n"/>
      <c r="G131" s="3" t="n"/>
    </row>
    <row r="132">
      <c r="A132" s="3" t="n"/>
      <c r="B132" s="6" t="n"/>
      <c r="C132" s="6" t="n"/>
      <c r="D132" s="5">
        <f>IF(OR(B132="",C132=""),"",ROUND((C132-B132)*1440,0))</f>
        <v/>
      </c>
      <c r="E132" s="3" t="n"/>
      <c r="F132" s="3" t="n"/>
      <c r="G132" s="3" t="n"/>
    </row>
    <row r="133">
      <c r="A133" s="3" t="n"/>
      <c r="B133" s="6" t="n"/>
      <c r="C133" s="6" t="n"/>
      <c r="D133" s="5">
        <f>IF(OR(B133="",C133=""),"",ROUND((C133-B133)*1440,0))</f>
        <v/>
      </c>
      <c r="E133" s="3" t="n"/>
      <c r="F133" s="3" t="n"/>
      <c r="G133" s="3" t="n"/>
    </row>
    <row r="134">
      <c r="A134" s="3" t="n"/>
      <c r="B134" s="6" t="n"/>
      <c r="C134" s="6" t="n"/>
      <c r="D134" s="5">
        <f>IF(OR(B134="",C134=""),"",ROUND((C134-B134)*1440,0))</f>
        <v/>
      </c>
      <c r="E134" s="3" t="n"/>
      <c r="F134" s="3" t="n"/>
      <c r="G134" s="3" t="n"/>
    </row>
    <row r="135">
      <c r="A135" s="3" t="n"/>
      <c r="B135" s="6" t="n"/>
      <c r="C135" s="6" t="n"/>
      <c r="D135" s="5">
        <f>IF(OR(B135="",C135=""),"",ROUND((C135-B135)*1440,0))</f>
        <v/>
      </c>
      <c r="E135" s="3" t="n"/>
      <c r="F135" s="3" t="n"/>
      <c r="G135" s="3" t="n"/>
    </row>
    <row r="136">
      <c r="A136" s="3" t="n"/>
      <c r="B136" s="6" t="n"/>
      <c r="C136" s="6" t="n"/>
      <c r="D136" s="5">
        <f>IF(OR(B136="",C136=""),"",ROUND((C136-B136)*1440,0))</f>
        <v/>
      </c>
      <c r="E136" s="3" t="n"/>
      <c r="F136" s="3" t="n"/>
      <c r="G136" s="3" t="n"/>
    </row>
    <row r="137">
      <c r="A137" s="3" t="n"/>
      <c r="B137" s="6" t="n"/>
      <c r="C137" s="6" t="n"/>
      <c r="D137" s="5">
        <f>IF(OR(B137="",C137=""),"",ROUND((C137-B137)*1440,0))</f>
        <v/>
      </c>
      <c r="E137" s="3" t="n"/>
      <c r="F137" s="3" t="n"/>
      <c r="G137" s="3" t="n"/>
    </row>
    <row r="138">
      <c r="A138" s="3" t="n"/>
      <c r="B138" s="6" t="n"/>
      <c r="C138" s="6" t="n"/>
      <c r="D138" s="5">
        <f>IF(OR(B138="",C138=""),"",ROUND((C138-B138)*1440,0))</f>
        <v/>
      </c>
      <c r="E138" s="3" t="n"/>
      <c r="F138" s="3" t="n"/>
      <c r="G138" s="3" t="n"/>
    </row>
    <row r="139">
      <c r="A139" s="3" t="n"/>
      <c r="B139" s="6" t="n"/>
      <c r="C139" s="6" t="n"/>
      <c r="D139" s="5">
        <f>IF(OR(B139="",C139=""),"",ROUND((C139-B139)*1440,0))</f>
        <v/>
      </c>
      <c r="E139" s="3" t="n"/>
      <c r="F139" s="3" t="n"/>
      <c r="G139" s="3" t="n"/>
    </row>
    <row r="140">
      <c r="A140" s="3" t="n"/>
      <c r="B140" s="6" t="n"/>
      <c r="C140" s="6" t="n"/>
      <c r="D140" s="5">
        <f>IF(OR(B140="",C140=""),"",ROUND((C140-B140)*1440,0))</f>
        <v/>
      </c>
      <c r="E140" s="3" t="n"/>
      <c r="F140" s="3" t="n"/>
      <c r="G140" s="3" t="n"/>
    </row>
    <row r="141">
      <c r="A141" s="3" t="n"/>
      <c r="B141" s="6" t="n"/>
      <c r="C141" s="6" t="n"/>
      <c r="D141" s="5">
        <f>IF(OR(B141="",C141=""),"",ROUND((C141-B141)*1440,0))</f>
        <v/>
      </c>
      <c r="E141" s="3" t="n"/>
      <c r="F141" s="3" t="n"/>
      <c r="G141" s="3" t="n"/>
    </row>
    <row r="142">
      <c r="A142" s="3" t="n"/>
      <c r="B142" s="6" t="n"/>
      <c r="C142" s="6" t="n"/>
      <c r="D142" s="5">
        <f>IF(OR(B142="",C142=""),"",ROUND((C142-B142)*1440,0))</f>
        <v/>
      </c>
      <c r="E142" s="3" t="n"/>
      <c r="F142" s="3" t="n"/>
      <c r="G142" s="3" t="n"/>
    </row>
    <row r="143">
      <c r="A143" s="3" t="n"/>
      <c r="B143" s="6" t="n"/>
      <c r="C143" s="6" t="n"/>
      <c r="D143" s="5">
        <f>IF(OR(B143="",C143=""),"",ROUND((C143-B143)*1440,0))</f>
        <v/>
      </c>
      <c r="E143" s="3" t="n"/>
      <c r="F143" s="3" t="n"/>
      <c r="G143" s="3" t="n"/>
    </row>
    <row r="144">
      <c r="A144" s="3" t="n"/>
      <c r="B144" s="6" t="n"/>
      <c r="C144" s="6" t="n"/>
      <c r="D144" s="5">
        <f>IF(OR(B144="",C144=""),"",ROUND((C144-B144)*1440,0))</f>
        <v/>
      </c>
      <c r="E144" s="3" t="n"/>
      <c r="F144" s="3" t="n"/>
      <c r="G144" s="3" t="n"/>
    </row>
    <row r="145">
      <c r="A145" s="3" t="n"/>
      <c r="B145" s="6" t="n"/>
      <c r="C145" s="6" t="n"/>
      <c r="D145" s="5">
        <f>IF(OR(B145="",C145=""),"",ROUND((C145-B145)*1440,0))</f>
        <v/>
      </c>
      <c r="E145" s="3" t="n"/>
      <c r="F145" s="3" t="n"/>
      <c r="G145" s="3" t="n"/>
    </row>
    <row r="146">
      <c r="A146" s="3" t="n"/>
      <c r="B146" s="6" t="n"/>
      <c r="C146" s="6" t="n"/>
      <c r="D146" s="5">
        <f>IF(OR(B146="",C146=""),"",ROUND((C146-B146)*1440,0))</f>
        <v/>
      </c>
      <c r="E146" s="3" t="n"/>
      <c r="F146" s="3" t="n"/>
      <c r="G146" s="3" t="n"/>
    </row>
    <row r="147">
      <c r="A147" s="3" t="n"/>
      <c r="B147" s="6" t="n"/>
      <c r="C147" s="6" t="n"/>
      <c r="D147" s="5">
        <f>IF(OR(B147="",C147=""),"",ROUND((C147-B147)*1440,0))</f>
        <v/>
      </c>
      <c r="E147" s="3" t="n"/>
      <c r="F147" s="3" t="n"/>
      <c r="G147" s="3" t="n"/>
    </row>
    <row r="148">
      <c r="A148" s="3" t="n"/>
      <c r="B148" s="6" t="n"/>
      <c r="C148" s="6" t="n"/>
      <c r="D148" s="5">
        <f>IF(OR(B148="",C148=""),"",ROUND((C148-B148)*1440,0))</f>
        <v/>
      </c>
      <c r="E148" s="3" t="n"/>
      <c r="F148" s="3" t="n"/>
      <c r="G148" s="3" t="n"/>
    </row>
    <row r="149">
      <c r="A149" s="3" t="n"/>
      <c r="B149" s="6" t="n"/>
      <c r="C149" s="6" t="n"/>
      <c r="D149" s="5">
        <f>IF(OR(B149="",C149=""),"",ROUND((C149-B149)*1440,0))</f>
        <v/>
      </c>
      <c r="E149" s="3" t="n"/>
      <c r="F149" s="3" t="n"/>
      <c r="G149" s="3" t="n"/>
    </row>
    <row r="150">
      <c r="A150" s="3" t="n"/>
      <c r="B150" s="6" t="n"/>
      <c r="C150" s="6" t="n"/>
      <c r="D150" s="5">
        <f>IF(OR(B150="",C150=""),"",ROUND((C150-B150)*1440,0))</f>
        <v/>
      </c>
      <c r="E150" s="3" t="n"/>
      <c r="F150" s="3" t="n"/>
      <c r="G150" s="3" t="n"/>
    </row>
    <row r="151">
      <c r="A151" s="3" t="n"/>
      <c r="B151" s="6" t="n"/>
      <c r="C151" s="6" t="n"/>
      <c r="D151" s="5">
        <f>IF(OR(B151="",C151=""),"",ROUND((C151-B151)*1440,0))</f>
        <v/>
      </c>
      <c r="E151" s="3" t="n"/>
      <c r="F151" s="3" t="n"/>
      <c r="G151" s="3" t="n"/>
    </row>
    <row r="152">
      <c r="A152" s="3" t="n"/>
      <c r="B152" s="6" t="n"/>
      <c r="C152" s="6" t="n"/>
      <c r="D152" s="5">
        <f>IF(OR(B152="",C152=""),"",ROUND((C152-B152)*1440,0))</f>
        <v/>
      </c>
      <c r="E152" s="3" t="n"/>
      <c r="F152" s="3" t="n"/>
      <c r="G152" s="3" t="n"/>
    </row>
    <row r="153">
      <c r="A153" s="3" t="n"/>
      <c r="B153" s="6" t="n"/>
      <c r="C153" s="6" t="n"/>
      <c r="D153" s="5">
        <f>IF(OR(B153="",C153=""),"",ROUND((C153-B153)*1440,0))</f>
        <v/>
      </c>
      <c r="E153" s="3" t="n"/>
      <c r="F153" s="3" t="n"/>
      <c r="G153" s="3" t="n"/>
    </row>
    <row r="154">
      <c r="A154" s="3" t="n"/>
      <c r="B154" s="6" t="n"/>
      <c r="C154" s="6" t="n"/>
      <c r="D154" s="5">
        <f>IF(OR(B154="",C154=""),"",ROUND((C154-B154)*1440,0))</f>
        <v/>
      </c>
      <c r="E154" s="3" t="n"/>
      <c r="F154" s="3" t="n"/>
      <c r="G154" s="3" t="n"/>
    </row>
    <row r="155">
      <c r="A155" s="3" t="n"/>
      <c r="B155" s="6" t="n"/>
      <c r="C155" s="6" t="n"/>
      <c r="D155" s="5">
        <f>IF(OR(B155="",C155=""),"",ROUND((C155-B155)*1440,0))</f>
        <v/>
      </c>
      <c r="E155" s="3" t="n"/>
      <c r="F155" s="3" t="n"/>
      <c r="G155" s="3" t="n"/>
    </row>
    <row r="156">
      <c r="A156" s="3" t="n"/>
      <c r="B156" s="6" t="n"/>
      <c r="C156" s="6" t="n"/>
      <c r="D156" s="5">
        <f>IF(OR(B156="",C156=""),"",ROUND((C156-B156)*1440,0))</f>
        <v/>
      </c>
      <c r="E156" s="3" t="n"/>
      <c r="F156" s="3" t="n"/>
      <c r="G156" s="3" t="n"/>
    </row>
    <row r="157">
      <c r="A157" s="3" t="n"/>
      <c r="B157" s="6" t="n"/>
      <c r="C157" s="6" t="n"/>
      <c r="D157" s="5">
        <f>IF(OR(B157="",C157=""),"",ROUND((C157-B157)*1440,0))</f>
        <v/>
      </c>
      <c r="E157" s="3" t="n"/>
      <c r="F157" s="3" t="n"/>
      <c r="G157" s="3" t="n"/>
    </row>
    <row r="158">
      <c r="A158" s="3" t="n"/>
      <c r="B158" s="6" t="n"/>
      <c r="C158" s="6" t="n"/>
      <c r="D158" s="5">
        <f>IF(OR(B158="",C158=""),"",ROUND((C158-B158)*1440,0))</f>
        <v/>
      </c>
      <c r="E158" s="3" t="n"/>
      <c r="F158" s="3" t="n"/>
      <c r="G158" s="3" t="n"/>
    </row>
    <row r="159">
      <c r="A159" s="3" t="n"/>
      <c r="B159" s="6" t="n"/>
      <c r="C159" s="6" t="n"/>
      <c r="D159" s="5">
        <f>IF(OR(B159="",C159=""),"",ROUND((C159-B159)*1440,0))</f>
        <v/>
      </c>
      <c r="E159" s="3" t="n"/>
      <c r="F159" s="3" t="n"/>
      <c r="G159" s="3" t="n"/>
    </row>
    <row r="160">
      <c r="A160" s="3" t="n"/>
      <c r="B160" s="6" t="n"/>
      <c r="C160" s="6" t="n"/>
      <c r="D160" s="5">
        <f>IF(OR(B160="",C160=""),"",ROUND((C160-B160)*1440,0))</f>
        <v/>
      </c>
      <c r="E160" s="3" t="n"/>
      <c r="F160" s="3" t="n"/>
      <c r="G160" s="3" t="n"/>
    </row>
    <row r="161">
      <c r="A161" s="3" t="n"/>
      <c r="B161" s="6" t="n"/>
      <c r="C161" s="6" t="n"/>
      <c r="D161" s="5">
        <f>IF(OR(B161="",C161=""),"",ROUND((C161-B161)*1440,0))</f>
        <v/>
      </c>
      <c r="E161" s="3" t="n"/>
      <c r="F161" s="3" t="n"/>
      <c r="G161" s="3" t="n"/>
    </row>
    <row r="162">
      <c r="A162" s="3" t="n"/>
      <c r="B162" s="6" t="n"/>
      <c r="C162" s="6" t="n"/>
      <c r="D162" s="5">
        <f>IF(OR(B162="",C162=""),"",ROUND((C162-B162)*1440,0))</f>
        <v/>
      </c>
      <c r="E162" s="3" t="n"/>
      <c r="F162" s="3" t="n"/>
      <c r="G162" s="3" t="n"/>
    </row>
    <row r="163">
      <c r="A163" s="3" t="n"/>
      <c r="B163" s="6" t="n"/>
      <c r="C163" s="6" t="n"/>
      <c r="D163" s="5">
        <f>IF(OR(B163="",C163=""),"",ROUND((C163-B163)*1440,0))</f>
        <v/>
      </c>
      <c r="E163" s="3" t="n"/>
      <c r="F163" s="3" t="n"/>
      <c r="G163" s="3" t="n"/>
    </row>
    <row r="164">
      <c r="A164" s="3" t="n"/>
      <c r="B164" s="6" t="n"/>
      <c r="C164" s="6" t="n"/>
      <c r="D164" s="5">
        <f>IF(OR(B164="",C164=""),"",ROUND((C164-B164)*1440,0))</f>
        <v/>
      </c>
      <c r="E164" s="3" t="n"/>
      <c r="F164" s="3" t="n"/>
      <c r="G164" s="3" t="n"/>
    </row>
    <row r="165">
      <c r="A165" s="3" t="n"/>
      <c r="B165" s="6" t="n"/>
      <c r="C165" s="6" t="n"/>
      <c r="D165" s="5">
        <f>IF(OR(B165="",C165=""),"",ROUND((C165-B165)*1440,0))</f>
        <v/>
      </c>
      <c r="E165" s="3" t="n"/>
      <c r="F165" s="3" t="n"/>
      <c r="G165" s="3" t="n"/>
    </row>
    <row r="166">
      <c r="A166" s="3" t="n"/>
      <c r="B166" s="6" t="n"/>
      <c r="C166" s="6" t="n"/>
      <c r="D166" s="5">
        <f>IF(OR(B166="",C166=""),"",ROUND((C166-B166)*1440,0))</f>
        <v/>
      </c>
      <c r="E166" s="3" t="n"/>
      <c r="F166" s="3" t="n"/>
      <c r="G166" s="3" t="n"/>
    </row>
    <row r="167">
      <c r="A167" s="3" t="n"/>
      <c r="B167" s="6" t="n"/>
      <c r="C167" s="6" t="n"/>
      <c r="D167" s="5">
        <f>IF(OR(B167="",C167=""),"",ROUND((C167-B167)*1440,0))</f>
        <v/>
      </c>
      <c r="E167" s="3" t="n"/>
      <c r="F167" s="3" t="n"/>
      <c r="G167" s="3" t="n"/>
    </row>
    <row r="168">
      <c r="A168" s="3" t="n"/>
      <c r="B168" s="6" t="n"/>
      <c r="C168" s="6" t="n"/>
      <c r="D168" s="5">
        <f>IF(OR(B168="",C168=""),"",ROUND((C168-B168)*1440,0))</f>
        <v/>
      </c>
      <c r="E168" s="3" t="n"/>
      <c r="F168" s="3" t="n"/>
      <c r="G168" s="3" t="n"/>
    </row>
    <row r="169">
      <c r="A169" s="3" t="n"/>
      <c r="B169" s="6" t="n"/>
      <c r="C169" s="6" t="n"/>
      <c r="D169" s="5">
        <f>IF(OR(B169="",C169=""),"",ROUND((C169-B169)*1440,0))</f>
        <v/>
      </c>
      <c r="E169" s="3" t="n"/>
      <c r="F169" s="3" t="n"/>
      <c r="G169" s="3" t="n"/>
    </row>
    <row r="170">
      <c r="A170" s="3" t="n"/>
      <c r="B170" s="6" t="n"/>
      <c r="C170" s="6" t="n"/>
      <c r="D170" s="5">
        <f>IF(OR(B170="",C170=""),"",ROUND((C170-B170)*1440,0))</f>
        <v/>
      </c>
      <c r="E170" s="3" t="n"/>
      <c r="F170" s="3" t="n"/>
      <c r="G170" s="3" t="n"/>
    </row>
    <row r="171">
      <c r="A171" s="3" t="n"/>
      <c r="B171" s="6" t="n"/>
      <c r="C171" s="6" t="n"/>
      <c r="D171" s="5">
        <f>IF(OR(B171="",C171=""),"",ROUND((C171-B171)*1440,0))</f>
        <v/>
      </c>
      <c r="E171" s="3" t="n"/>
      <c r="F171" s="3" t="n"/>
      <c r="G171" s="3" t="n"/>
    </row>
    <row r="172">
      <c r="A172" s="3" t="n"/>
      <c r="B172" s="6" t="n"/>
      <c r="C172" s="6" t="n"/>
      <c r="D172" s="5">
        <f>IF(OR(B172="",C172=""),"",ROUND((C172-B172)*1440,0))</f>
        <v/>
      </c>
      <c r="E172" s="3" t="n"/>
      <c r="F172" s="3" t="n"/>
      <c r="G172" s="3" t="n"/>
    </row>
    <row r="173">
      <c r="A173" s="3" t="n"/>
      <c r="B173" s="6" t="n"/>
      <c r="C173" s="6" t="n"/>
      <c r="D173" s="5">
        <f>IF(OR(B173="",C173=""),"",ROUND((C173-B173)*1440,0))</f>
        <v/>
      </c>
      <c r="E173" s="3" t="n"/>
      <c r="F173" s="3" t="n"/>
      <c r="G173" s="3" t="n"/>
    </row>
    <row r="174">
      <c r="A174" s="3" t="n"/>
      <c r="B174" s="6" t="n"/>
      <c r="C174" s="6" t="n"/>
      <c r="D174" s="5">
        <f>IF(OR(B174="",C174=""),"",ROUND((C174-B174)*1440,0))</f>
        <v/>
      </c>
      <c r="E174" s="3" t="n"/>
      <c r="F174" s="3" t="n"/>
      <c r="G174" s="3" t="n"/>
    </row>
    <row r="175">
      <c r="A175" s="3" t="n"/>
      <c r="B175" s="6" t="n"/>
      <c r="C175" s="6" t="n"/>
      <c r="D175" s="5">
        <f>IF(OR(B175="",C175=""),"",ROUND((C175-B175)*1440,0))</f>
        <v/>
      </c>
      <c r="E175" s="3" t="n"/>
      <c r="F175" s="3" t="n"/>
      <c r="G175" s="3" t="n"/>
    </row>
    <row r="176">
      <c r="A176" s="3" t="n"/>
      <c r="B176" s="6" t="n"/>
      <c r="C176" s="6" t="n"/>
      <c r="D176" s="5">
        <f>IF(OR(B176="",C176=""),"",ROUND((C176-B176)*1440,0))</f>
        <v/>
      </c>
      <c r="E176" s="3" t="n"/>
      <c r="F176" s="3" t="n"/>
      <c r="G176" s="3" t="n"/>
    </row>
    <row r="177">
      <c r="A177" s="3" t="n"/>
      <c r="B177" s="6" t="n"/>
      <c r="C177" s="6" t="n"/>
      <c r="D177" s="5">
        <f>IF(OR(B177="",C177=""),"",ROUND((C177-B177)*1440,0))</f>
        <v/>
      </c>
      <c r="E177" s="3" t="n"/>
      <c r="F177" s="3" t="n"/>
      <c r="G177" s="3" t="n"/>
    </row>
    <row r="178">
      <c r="A178" s="3" t="n"/>
      <c r="B178" s="6" t="n"/>
      <c r="C178" s="6" t="n"/>
      <c r="D178" s="5">
        <f>IF(OR(B178="",C178=""),"",ROUND((C178-B178)*1440,0))</f>
        <v/>
      </c>
      <c r="E178" s="3" t="n"/>
      <c r="F178" s="3" t="n"/>
      <c r="G178" s="3" t="n"/>
    </row>
    <row r="179">
      <c r="A179" s="3" t="n"/>
      <c r="B179" s="6" t="n"/>
      <c r="C179" s="6" t="n"/>
      <c r="D179" s="5">
        <f>IF(OR(B179="",C179=""),"",ROUND((C179-B179)*1440,0))</f>
        <v/>
      </c>
      <c r="E179" s="3" t="n"/>
      <c r="F179" s="3" t="n"/>
      <c r="G179" s="3" t="n"/>
    </row>
    <row r="180">
      <c r="A180" s="3" t="n"/>
      <c r="B180" s="6" t="n"/>
      <c r="C180" s="6" t="n"/>
      <c r="D180" s="5">
        <f>IF(OR(B180="",C180=""),"",ROUND((C180-B180)*1440,0))</f>
        <v/>
      </c>
      <c r="E180" s="3" t="n"/>
      <c r="F180" s="3" t="n"/>
      <c r="G180" s="3" t="n"/>
    </row>
    <row r="181">
      <c r="A181" s="3" t="n"/>
      <c r="B181" s="6" t="n"/>
      <c r="C181" s="6" t="n"/>
      <c r="D181" s="5">
        <f>IF(OR(B181="",C181=""),"",ROUND((C181-B181)*1440,0))</f>
        <v/>
      </c>
      <c r="E181" s="3" t="n"/>
      <c r="F181" s="3" t="n"/>
      <c r="G181" s="3" t="n"/>
    </row>
    <row r="182">
      <c r="A182" s="3" t="n"/>
      <c r="B182" s="6" t="n"/>
      <c r="C182" s="6" t="n"/>
      <c r="D182" s="5">
        <f>IF(OR(B182="",C182=""),"",ROUND((C182-B182)*1440,0))</f>
        <v/>
      </c>
      <c r="E182" s="3" t="n"/>
      <c r="F182" s="3" t="n"/>
      <c r="G182" s="3" t="n"/>
    </row>
    <row r="183">
      <c r="A183" s="3" t="n"/>
      <c r="B183" s="6" t="n"/>
      <c r="C183" s="6" t="n"/>
      <c r="D183" s="5">
        <f>IF(OR(B183="",C183=""),"",ROUND((C183-B183)*1440,0))</f>
        <v/>
      </c>
      <c r="E183" s="3" t="n"/>
      <c r="F183" s="3" t="n"/>
      <c r="G183" s="3" t="n"/>
    </row>
    <row r="184">
      <c r="A184" s="3" t="n"/>
      <c r="B184" s="6" t="n"/>
      <c r="C184" s="6" t="n"/>
      <c r="D184" s="5">
        <f>IF(OR(B184="",C184=""),"",ROUND((C184-B184)*1440,0))</f>
        <v/>
      </c>
      <c r="E184" s="3" t="n"/>
      <c r="F184" s="3" t="n"/>
      <c r="G184" s="3" t="n"/>
    </row>
    <row r="185">
      <c r="A185" s="3" t="n"/>
      <c r="B185" s="6" t="n"/>
      <c r="C185" s="6" t="n"/>
      <c r="D185" s="5">
        <f>IF(OR(B185="",C185=""),"",ROUND((C185-B185)*1440,0))</f>
        <v/>
      </c>
      <c r="E185" s="3" t="n"/>
      <c r="F185" s="3" t="n"/>
      <c r="G185" s="3" t="n"/>
    </row>
    <row r="186">
      <c r="A186" s="3" t="n"/>
      <c r="B186" s="6" t="n"/>
      <c r="C186" s="6" t="n"/>
      <c r="D186" s="5">
        <f>IF(OR(B186="",C186=""),"",ROUND((C186-B186)*1440,0))</f>
        <v/>
      </c>
      <c r="E186" s="3" t="n"/>
      <c r="F186" s="3" t="n"/>
      <c r="G186" s="3" t="n"/>
    </row>
    <row r="187">
      <c r="A187" s="3" t="n"/>
      <c r="B187" s="6" t="n"/>
      <c r="C187" s="6" t="n"/>
      <c r="D187" s="5">
        <f>IF(OR(B187="",C187=""),"",ROUND((C187-B187)*1440,0))</f>
        <v/>
      </c>
      <c r="E187" s="3" t="n"/>
      <c r="F187" s="3" t="n"/>
      <c r="G187" s="3" t="n"/>
    </row>
    <row r="188">
      <c r="A188" s="3" t="n"/>
      <c r="B188" s="6" t="n"/>
      <c r="C188" s="6" t="n"/>
      <c r="D188" s="5">
        <f>IF(OR(B188="",C188=""),"",ROUND((C188-B188)*1440,0))</f>
        <v/>
      </c>
      <c r="E188" s="3" t="n"/>
      <c r="F188" s="3" t="n"/>
      <c r="G188" s="3" t="n"/>
    </row>
    <row r="189">
      <c r="A189" s="3" t="n"/>
      <c r="B189" s="6" t="n"/>
      <c r="C189" s="6" t="n"/>
      <c r="D189" s="5">
        <f>IF(OR(B189="",C189=""),"",ROUND((C189-B189)*1440,0))</f>
        <v/>
      </c>
      <c r="E189" s="3" t="n"/>
      <c r="F189" s="3" t="n"/>
      <c r="G189" s="3" t="n"/>
    </row>
    <row r="190">
      <c r="A190" s="3" t="n"/>
      <c r="B190" s="6" t="n"/>
      <c r="C190" s="6" t="n"/>
      <c r="D190" s="5">
        <f>IF(OR(B190="",C190=""),"",ROUND((C190-B190)*1440,0))</f>
        <v/>
      </c>
      <c r="E190" s="3" t="n"/>
      <c r="F190" s="3" t="n"/>
      <c r="G190" s="3" t="n"/>
    </row>
    <row r="191">
      <c r="A191" s="3" t="n"/>
      <c r="B191" s="6" t="n"/>
      <c r="C191" s="6" t="n"/>
      <c r="D191" s="5">
        <f>IF(OR(B191="",C191=""),"",ROUND((C191-B191)*1440,0))</f>
        <v/>
      </c>
      <c r="E191" s="3" t="n"/>
      <c r="F191" s="3" t="n"/>
      <c r="G191" s="3" t="n"/>
    </row>
    <row r="192">
      <c r="A192" s="3" t="n"/>
      <c r="B192" s="6" t="n"/>
      <c r="C192" s="6" t="n"/>
      <c r="D192" s="5">
        <f>IF(OR(B192="",C192=""),"",ROUND((C192-B192)*1440,0))</f>
        <v/>
      </c>
      <c r="E192" s="3" t="n"/>
      <c r="F192" s="3" t="n"/>
      <c r="G192" s="3" t="n"/>
    </row>
    <row r="193">
      <c r="A193" s="3" t="n"/>
      <c r="B193" s="6" t="n"/>
      <c r="C193" s="6" t="n"/>
      <c r="D193" s="5">
        <f>IF(OR(B193="",C193=""),"",ROUND((C193-B193)*1440,0))</f>
        <v/>
      </c>
      <c r="E193" s="3" t="n"/>
      <c r="F193" s="3" t="n"/>
      <c r="G193" s="3" t="n"/>
    </row>
    <row r="194">
      <c r="A194" s="3" t="n"/>
      <c r="B194" s="6" t="n"/>
      <c r="C194" s="6" t="n"/>
      <c r="D194" s="5">
        <f>IF(OR(B194="",C194=""),"",ROUND((C194-B194)*1440,0))</f>
        <v/>
      </c>
      <c r="E194" s="3" t="n"/>
      <c r="F194" s="3" t="n"/>
      <c r="G194" s="3" t="n"/>
    </row>
    <row r="195">
      <c r="A195" s="3" t="n"/>
      <c r="B195" s="6" t="n"/>
      <c r="C195" s="6" t="n"/>
      <c r="D195" s="5">
        <f>IF(OR(B195="",C195=""),"",ROUND((C195-B195)*1440,0))</f>
        <v/>
      </c>
      <c r="E195" s="3" t="n"/>
      <c r="F195" s="3" t="n"/>
      <c r="G195" s="3" t="n"/>
    </row>
    <row r="196">
      <c r="A196" s="3" t="n"/>
      <c r="B196" s="6" t="n"/>
      <c r="C196" s="6" t="n"/>
      <c r="D196" s="5">
        <f>IF(OR(B196="",C196=""),"",ROUND((C196-B196)*1440,0))</f>
        <v/>
      </c>
      <c r="E196" s="3" t="n"/>
      <c r="F196" s="3" t="n"/>
      <c r="G196" s="3" t="n"/>
    </row>
    <row r="197">
      <c r="A197" s="3" t="n"/>
      <c r="B197" s="6" t="n"/>
      <c r="C197" s="6" t="n"/>
      <c r="D197" s="5">
        <f>IF(OR(B197="",C197=""),"",ROUND((C197-B197)*1440,0))</f>
        <v/>
      </c>
      <c r="E197" s="3" t="n"/>
      <c r="F197" s="3" t="n"/>
      <c r="G197" s="3" t="n"/>
    </row>
    <row r="198">
      <c r="A198" s="3" t="n"/>
      <c r="B198" s="6" t="n"/>
      <c r="C198" s="6" t="n"/>
      <c r="D198" s="5">
        <f>IF(OR(B198="",C198=""),"",ROUND((C198-B198)*1440,0))</f>
        <v/>
      </c>
      <c r="E198" s="3" t="n"/>
      <c r="F198" s="3" t="n"/>
      <c r="G198" s="3" t="n"/>
    </row>
    <row r="199">
      <c r="A199" s="3" t="n"/>
      <c r="B199" s="6" t="n"/>
      <c r="C199" s="6" t="n"/>
      <c r="D199" s="5">
        <f>IF(OR(B199="",C199=""),"",ROUND((C199-B199)*1440,0))</f>
        <v/>
      </c>
      <c r="E199" s="3" t="n"/>
      <c r="F199" s="3" t="n"/>
      <c r="G199" s="3" t="n"/>
    </row>
    <row r="200">
      <c r="A200" s="3" t="n"/>
      <c r="B200" s="6" t="n"/>
      <c r="C200" s="6" t="n"/>
      <c r="D200" s="5">
        <f>IF(OR(B200="",C200=""),"",ROUND((C200-B200)*1440,0))</f>
        <v/>
      </c>
      <c r="E200" s="3" t="n"/>
      <c r="F200" s="3" t="n"/>
      <c r="G200" s="3" t="n"/>
    </row>
    <row r="201">
      <c r="A201" s="3" t="n"/>
      <c r="B201" s="6" t="n"/>
      <c r="C201" s="6" t="n"/>
      <c r="D201" s="5">
        <f>IF(OR(B201="",C201=""),"",ROUND((C201-B201)*1440,0))</f>
        <v/>
      </c>
      <c r="E201" s="3" t="n"/>
      <c r="F201" s="3" t="n"/>
      <c r="G201" s="3" t="n"/>
    </row>
  </sheetData>
  <dataValidations count="1">
    <dataValidation sqref="F2:F201" showDropDown="0" showInputMessage="0" showErrorMessage="0" allowBlank="1" type="list">
      <formula1>"Motosserra,Motopoda,Podão manual,Nenhum,Veículo"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5" customWidth="1" min="3" max="3"/>
    <col width="60" customWidth="1" min="4" max="4"/>
    <col width="11" customWidth="1" min="5" max="5"/>
    <col width="14" customWidth="1" min="6" max="6"/>
    <col width="12" customWidth="1" min="7" max="7"/>
    <col width="14" customWidth="1" min="8" max="8"/>
    <col width="34" customWidth="1" min="9" max="9"/>
  </cols>
  <sheetData>
    <row r="1" ht="42" customHeight="1">
      <c r="A1" s="2" t="inlineStr">
        <is>
          <t>Ficha</t>
        </is>
      </c>
      <c r="B1" s="2" t="inlineStr">
        <is>
          <t>Norma</t>
        </is>
      </c>
      <c r="C1" s="2" t="inlineStr">
        <is>
          <t>#</t>
        </is>
      </c>
      <c r="D1" s="2" t="inlineStr">
        <is>
          <t>Item verificado</t>
        </is>
      </c>
      <c r="E1" s="2" t="inlineStr">
        <is>
          <t>Data</t>
        </is>
      </c>
      <c r="F1" s="2" t="inlineStr">
        <is>
          <t>Podador/equip.</t>
        </is>
      </c>
      <c r="G1" s="2" t="inlineStr">
        <is>
          <t>Resultado (C/NC/NA)</t>
        </is>
      </c>
      <c r="H1" s="2" t="inlineStr">
        <is>
          <t>Nº da foto (evidência)</t>
        </is>
      </c>
      <c r="I1" s="2" t="inlineStr">
        <is>
          <t>Observação</t>
        </is>
      </c>
    </row>
    <row r="2">
      <c r="A2" s="5" t="inlineStr">
        <is>
          <t>F4</t>
        </is>
      </c>
      <c r="B2" s="5" t="inlineStr">
        <is>
          <t>NR-10</t>
        </is>
      </c>
      <c r="C2" s="5" t="n">
        <v>1</v>
      </c>
      <c r="D2" s="5" t="inlineStr">
        <is>
          <t>Treinamento NR-10 básico (40 h) — certificado</t>
        </is>
      </c>
      <c r="E2" s="3" t="n"/>
      <c r="F2" s="3" t="n"/>
      <c r="G2" s="3" t="n"/>
      <c r="H2" s="3" t="n"/>
      <c r="I2" s="3" t="n"/>
    </row>
    <row r="3">
      <c r="A3" s="5" t="inlineStr">
        <is>
          <t>F4</t>
        </is>
      </c>
      <c r="B3" s="5" t="inlineStr">
        <is>
          <t>NR-10</t>
        </is>
      </c>
      <c r="C3" s="5" t="n">
        <v>2</v>
      </c>
      <c r="D3" s="5" t="inlineStr">
        <is>
          <t>Curso complementar SEP (40 h)</t>
        </is>
      </c>
      <c r="E3" s="3" t="n"/>
      <c r="F3" s="3" t="n"/>
      <c r="G3" s="3" t="n"/>
      <c r="H3" s="3" t="n"/>
      <c r="I3" s="3" t="n"/>
    </row>
    <row r="4">
      <c r="A4" s="5" t="inlineStr">
        <is>
          <t>F4</t>
        </is>
      </c>
      <c r="B4" s="5" t="inlineStr">
        <is>
          <t>NR-10</t>
        </is>
      </c>
      <c r="C4" s="5" t="n">
        <v>3</v>
      </c>
      <c r="D4" s="5" t="inlineStr">
        <is>
          <t>Autorização formal para serviços em/próximo de instalações elétricas</t>
        </is>
      </c>
      <c r="E4" s="3" t="n"/>
      <c r="F4" s="3" t="n"/>
      <c r="G4" s="3" t="n"/>
      <c r="H4" s="3" t="n"/>
      <c r="I4" s="3" t="n"/>
    </row>
    <row r="5">
      <c r="A5" s="5" t="inlineStr">
        <is>
          <t>F4</t>
        </is>
      </c>
      <c r="B5" s="5" t="inlineStr">
        <is>
          <t>NR-10</t>
        </is>
      </c>
      <c r="C5" s="5" t="n">
        <v>4</v>
      </c>
      <c r="D5" s="5" t="inlineStr">
        <is>
          <t>Ordem de serviço / programação do serviço</t>
        </is>
      </c>
      <c r="E5" s="3" t="n"/>
      <c r="F5" s="3" t="n"/>
      <c r="G5" s="3" t="n"/>
      <c r="H5" s="3" t="n"/>
      <c r="I5" s="3" t="n"/>
    </row>
    <row r="6">
      <c r="A6" s="5" t="inlineStr">
        <is>
          <t>F4</t>
        </is>
      </c>
      <c r="B6" s="5" t="inlineStr">
        <is>
          <t>NR-10</t>
        </is>
      </c>
      <c r="C6" s="5" t="n">
        <v>5</v>
      </c>
      <c r="D6" s="5" t="inlineStr">
        <is>
          <t>Análise de risco (APR) antes de iniciar, específica do local</t>
        </is>
      </c>
      <c r="E6" s="3" t="n"/>
      <c r="F6" s="3" t="n"/>
      <c r="G6" s="3" t="n"/>
      <c r="H6" s="3" t="n"/>
      <c r="I6" s="3" t="n"/>
    </row>
    <row r="7">
      <c r="A7" s="5" t="inlineStr">
        <is>
          <t>F4</t>
        </is>
      </c>
      <c r="B7" s="5" t="inlineStr">
        <is>
          <t>NR-10</t>
        </is>
      </c>
      <c r="C7" s="5" t="n">
        <v>6</v>
      </c>
      <c r="D7" s="5" t="inlineStr">
        <is>
          <t>Rede desligada: sequência de desenergização seguida na ordem</t>
        </is>
      </c>
      <c r="E7" s="3" t="n"/>
      <c r="F7" s="3" t="n"/>
      <c r="G7" s="3" t="n"/>
      <c r="H7" s="3" t="n"/>
      <c r="I7" s="3" t="n"/>
    </row>
    <row r="8">
      <c r="A8" s="5" t="inlineStr">
        <is>
          <t>F4</t>
        </is>
      </c>
      <c r="B8" s="5" t="inlineStr">
        <is>
          <t>NR-10</t>
        </is>
      </c>
      <c r="C8" s="5" t="n">
        <v>7</v>
      </c>
      <c r="D8" s="5" t="inlineStr">
        <is>
          <t>Rede energizada: pessoas/ferramentas fora da zona de risco; zona controlada só autorizados</t>
        </is>
      </c>
      <c r="E8" s="3" t="n"/>
      <c r="F8" s="3" t="n"/>
      <c r="G8" s="3" t="n"/>
      <c r="H8" s="3" t="n"/>
      <c r="I8" s="3" t="n"/>
    </row>
    <row r="9">
      <c r="A9" s="5" t="inlineStr">
        <is>
          <t>F4</t>
        </is>
      </c>
      <c r="B9" s="5" t="inlineStr">
        <is>
          <t>NR-10</t>
        </is>
      </c>
      <c r="C9" s="5" t="n">
        <v>8</v>
      </c>
      <c r="D9" s="5" t="inlineStr">
        <is>
          <t>Ferramentas isolantes com ensaio dielétrico em dia</t>
        </is>
      </c>
      <c r="E9" s="3" t="n"/>
      <c r="F9" s="3" t="n"/>
      <c r="G9" s="3" t="n"/>
      <c r="H9" s="3" t="n"/>
      <c r="I9" s="3" t="n"/>
    </row>
    <row r="10">
      <c r="A10" s="5" t="inlineStr">
        <is>
          <t>F4</t>
        </is>
      </c>
      <c r="B10" s="5" t="inlineStr">
        <is>
          <t>NR-10</t>
        </is>
      </c>
      <c r="C10" s="5" t="n">
        <v>9</v>
      </c>
      <c r="D10" s="5" t="inlineStr">
        <is>
          <t>Controle da queda dos galhos (não encostaram na rede)</t>
        </is>
      </c>
      <c r="E10" s="3" t="n"/>
      <c r="F10" s="3" t="n"/>
      <c r="G10" s="3" t="n"/>
      <c r="H10" s="3" t="n"/>
      <c r="I10" s="3" t="n"/>
    </row>
    <row r="11">
      <c r="A11" s="5" t="inlineStr">
        <is>
          <t>F4</t>
        </is>
      </c>
      <c r="B11" s="5" t="inlineStr">
        <is>
          <t>NR-10</t>
        </is>
      </c>
      <c r="C11" s="5" t="n">
        <v>10</v>
      </c>
      <c r="D11" s="5" t="inlineStr">
        <is>
          <t>Comunicação com centro de operação</t>
        </is>
      </c>
      <c r="E11" s="3" t="n"/>
      <c r="F11" s="3" t="n"/>
      <c r="G11" s="3" t="n"/>
      <c r="H11" s="3" t="n"/>
      <c r="I11" s="3" t="n"/>
    </row>
    <row r="12">
      <c r="A12" s="5" t="inlineStr">
        <is>
          <t>F4</t>
        </is>
      </c>
      <c r="B12" s="5" t="inlineStr">
        <is>
          <t>NR-10</t>
        </is>
      </c>
      <c r="C12" s="5" t="n">
        <v>11</v>
      </c>
      <c r="D12" s="5" t="inlineStr">
        <is>
          <t>Serviço não realizado por trabalhador sozinho</t>
        </is>
      </c>
      <c r="E12" s="3" t="n"/>
      <c r="F12" s="3" t="n"/>
      <c r="G12" s="3" t="n"/>
      <c r="H12" s="3" t="n"/>
      <c r="I12" s="3" t="n"/>
    </row>
    <row r="13">
      <c r="A13" s="5" t="inlineStr">
        <is>
          <t>F4</t>
        </is>
      </c>
      <c r="B13" s="5" t="inlineStr">
        <is>
          <t>NR-10</t>
        </is>
      </c>
      <c r="C13" s="5" t="n">
        <v>12</v>
      </c>
      <c r="D13" s="5" t="inlineStr">
        <is>
          <t>Pessoa capacitada em primeiros socorros/RCP e plano de emergência</t>
        </is>
      </c>
      <c r="E13" s="3" t="n"/>
      <c r="F13" s="3" t="n"/>
      <c r="G13" s="3" t="n"/>
      <c r="H13" s="3" t="n"/>
      <c r="I13" s="3" t="n"/>
    </row>
    <row r="14">
      <c r="A14" s="5" t="inlineStr">
        <is>
          <t>F4</t>
        </is>
      </c>
      <c r="B14" s="5" t="inlineStr">
        <is>
          <t>NR-10</t>
        </is>
      </c>
      <c r="C14" s="5" t="n">
        <v>13</v>
      </c>
      <c r="D14" s="5" t="inlineStr">
        <is>
          <t>Área sinalizada e isolada</t>
        </is>
      </c>
      <c r="E14" s="3" t="n"/>
      <c r="F14" s="3" t="n"/>
      <c r="G14" s="3" t="n"/>
      <c r="H14" s="3" t="n"/>
      <c r="I14" s="3" t="n"/>
    </row>
    <row r="15">
      <c r="A15" s="5" t="inlineStr">
        <is>
          <t>F5</t>
        </is>
      </c>
      <c r="B15" s="5" t="inlineStr">
        <is>
          <t>NR-35</t>
        </is>
      </c>
      <c r="C15" s="5" t="n">
        <v>1</v>
      </c>
      <c r="D15" s="5" t="inlineStr">
        <is>
          <t>Treinamento NR-35 (mín. 8 h) — certificado</t>
        </is>
      </c>
      <c r="E15" s="3" t="n"/>
      <c r="F15" s="3" t="n"/>
      <c r="G15" s="3" t="n"/>
      <c r="H15" s="3" t="n"/>
      <c r="I15" s="3" t="n"/>
    </row>
    <row r="16">
      <c r="A16" s="5" t="inlineStr">
        <is>
          <t>F5</t>
        </is>
      </c>
      <c r="B16" s="5" t="inlineStr">
        <is>
          <t>NR-35</t>
        </is>
      </c>
      <c r="C16" s="5" t="n">
        <v>2</v>
      </c>
      <c r="D16" s="5" t="inlineStr">
        <is>
          <t>ASO com aptidão para trabalho em altura</t>
        </is>
      </c>
      <c r="E16" s="3" t="n"/>
      <c r="F16" s="3" t="n"/>
      <c r="G16" s="3" t="n"/>
      <c r="H16" s="3" t="n"/>
      <c r="I16" s="3" t="n"/>
    </row>
    <row r="17">
      <c r="A17" s="5" t="inlineStr">
        <is>
          <t>F5</t>
        </is>
      </c>
      <c r="B17" s="5" t="inlineStr">
        <is>
          <t>NR-35</t>
        </is>
      </c>
      <c r="C17" s="5" t="n">
        <v>3</v>
      </c>
      <c r="D17" s="5" t="inlineStr">
        <is>
          <t>Análise de risco do trabalho em altura</t>
        </is>
      </c>
      <c r="E17" s="3" t="n"/>
      <c r="F17" s="3" t="n"/>
      <c r="G17" s="3" t="n"/>
      <c r="H17" s="3" t="n"/>
      <c r="I17" s="3" t="n"/>
    </row>
    <row r="18">
      <c r="A18" s="5" t="inlineStr">
        <is>
          <t>F5</t>
        </is>
      </c>
      <c r="B18" s="5" t="inlineStr">
        <is>
          <t>NR-35</t>
        </is>
      </c>
      <c r="C18" s="5" t="n">
        <v>4</v>
      </c>
      <c r="D18" s="5" t="inlineStr">
        <is>
          <t>Permissão de trabalho (se não rotineiro)</t>
        </is>
      </c>
      <c r="E18" s="3" t="n"/>
      <c r="F18" s="3" t="n"/>
      <c r="G18" s="3" t="n"/>
      <c r="H18" s="3" t="n"/>
      <c r="I18" s="3" t="n"/>
    </row>
    <row r="19">
      <c r="A19" s="5" t="inlineStr">
        <is>
          <t>F5</t>
        </is>
      </c>
      <c r="B19" s="5" t="inlineStr">
        <is>
          <t>NR-35</t>
        </is>
      </c>
      <c r="C19" s="5" t="n">
        <v>5</v>
      </c>
      <c r="D19" s="5" t="inlineStr">
        <is>
          <t>Cinturão e talabarte inspecionados antes do uso</t>
        </is>
      </c>
      <c r="E19" s="3" t="n"/>
      <c r="F19" s="3" t="n"/>
      <c r="G19" s="3" t="n"/>
      <c r="H19" s="3" t="n"/>
      <c r="I19" s="3" t="n"/>
    </row>
    <row r="20">
      <c r="A20" s="5" t="inlineStr">
        <is>
          <t>F5</t>
        </is>
      </c>
      <c r="B20" s="5" t="inlineStr">
        <is>
          <t>NR-35</t>
        </is>
      </c>
      <c r="C20" s="5" t="n">
        <v>6</v>
      </c>
      <c r="D20" s="5" t="inlineStr">
        <is>
          <t>Ancoragem escolhida e verificada</t>
        </is>
      </c>
      <c r="E20" s="3" t="n"/>
      <c r="F20" s="3" t="n"/>
      <c r="G20" s="3" t="n"/>
      <c r="H20" s="3" t="n"/>
      <c r="I20" s="3" t="n"/>
    </row>
    <row r="21">
      <c r="A21" s="5" t="inlineStr">
        <is>
          <t>F5</t>
        </is>
      </c>
      <c r="B21" s="5" t="inlineStr">
        <is>
          <t>NR-35</t>
        </is>
      </c>
      <c r="C21" s="5" t="n">
        <v>7</v>
      </c>
      <c r="D21" s="5" t="inlineStr">
        <is>
          <t>Trabalhador conectado o tempo todo em altura</t>
        </is>
      </c>
      <c r="E21" s="3" t="n"/>
      <c r="F21" s="3" t="n"/>
      <c r="G21" s="3" t="n"/>
      <c r="H21" s="3" t="n"/>
      <c r="I21" s="3" t="n"/>
    </row>
    <row r="22">
      <c r="A22" s="5" t="inlineStr">
        <is>
          <t>F5</t>
        </is>
      </c>
      <c r="B22" s="5" t="inlineStr">
        <is>
          <t>NR-35</t>
        </is>
      </c>
      <c r="C22" s="5" t="n">
        <v>8</v>
      </c>
      <c r="D22" s="5" t="inlineStr">
        <is>
          <t>Meio de acesso adequado (escada estabilizada / cesto inspecionado)</t>
        </is>
      </c>
      <c r="E22" s="3" t="n"/>
      <c r="F22" s="3" t="n"/>
      <c r="G22" s="3" t="n"/>
      <c r="H22" s="3" t="n"/>
      <c r="I22" s="3" t="n"/>
    </row>
    <row r="23">
      <c r="A23" s="5" t="inlineStr">
        <is>
          <t>F5</t>
        </is>
      </c>
      <c r="B23" s="5" t="inlineStr">
        <is>
          <t>NR-35</t>
        </is>
      </c>
      <c r="C23" s="5" t="n">
        <v>9</v>
      </c>
      <c r="D23" s="5" t="inlineStr">
        <is>
          <t>Condições meteorológicas avaliadas</t>
        </is>
      </c>
      <c r="E23" s="3" t="n"/>
      <c r="F23" s="3" t="n"/>
      <c r="G23" s="3" t="n"/>
      <c r="H23" s="3" t="n"/>
      <c r="I23" s="3" t="n"/>
    </row>
    <row r="24">
      <c r="A24" s="5" t="inlineStr">
        <is>
          <t>F5</t>
        </is>
      </c>
      <c r="B24" s="5" t="inlineStr">
        <is>
          <t>NR-35</t>
        </is>
      </c>
      <c r="C24" s="5" t="n">
        <v>10</v>
      </c>
      <c r="D24" s="5" t="inlineStr">
        <is>
          <t>Plano de resgate e pessoa apta presente</t>
        </is>
      </c>
      <c r="E24" s="3" t="n"/>
      <c r="F24" s="3" t="n"/>
      <c r="G24" s="3" t="n"/>
      <c r="H24" s="3" t="n"/>
      <c r="I24" s="3" t="n"/>
    </row>
    <row r="25">
      <c r="A25" s="5" t="inlineStr">
        <is>
          <t>F5</t>
        </is>
      </c>
      <c r="B25" s="5" t="inlineStr">
        <is>
          <t>NR-35</t>
        </is>
      </c>
      <c r="C25" s="5" t="n">
        <v>11</v>
      </c>
      <c r="D25" s="5" t="inlineStr">
        <is>
          <t>Área abaixo isolada contra queda de galhos/ferramentas</t>
        </is>
      </c>
      <c r="E25" s="3" t="n"/>
      <c r="F25" s="3" t="n"/>
      <c r="G25" s="3" t="n"/>
      <c r="H25" s="3" t="n"/>
      <c r="I25" s="3" t="n"/>
    </row>
    <row r="26">
      <c r="A26" s="5" t="inlineStr">
        <is>
          <t>F5</t>
        </is>
      </c>
      <c r="B26" s="5" t="inlineStr">
        <is>
          <t>NR-35</t>
        </is>
      </c>
      <c r="C26" s="5" t="n">
        <v>12</v>
      </c>
      <c r="D26" s="5" t="inlineStr">
        <is>
          <t>Motosserra não usada acima dos ombros / com uma mão</t>
        </is>
      </c>
      <c r="E26" s="3" t="n"/>
      <c r="F26" s="3" t="n"/>
      <c r="G26" s="3" t="n"/>
      <c r="H26" s="3" t="n"/>
      <c r="I26" s="3" t="n"/>
    </row>
    <row r="27">
      <c r="A27" s="5" t="inlineStr">
        <is>
          <t>F6</t>
        </is>
      </c>
      <c r="B27" s="5" t="inlineStr">
        <is>
          <t>NR-12 An. V</t>
        </is>
      </c>
      <c r="C27" s="5" t="n">
        <v>1</v>
      </c>
      <c r="D27" s="5" t="inlineStr">
        <is>
          <t>Freio de corrente presente e funcionando</t>
        </is>
      </c>
      <c r="E27" s="3" t="n"/>
      <c r="F27" s="3" t="n"/>
      <c r="G27" s="3" t="n"/>
      <c r="H27" s="3" t="n"/>
      <c r="I27" s="3" t="n"/>
    </row>
    <row r="28">
      <c r="A28" s="5" t="inlineStr">
        <is>
          <t>F6</t>
        </is>
      </c>
      <c r="B28" s="5" t="inlineStr">
        <is>
          <t>NR-12 An. V</t>
        </is>
      </c>
      <c r="C28" s="5" t="n">
        <v>2</v>
      </c>
      <c r="D28" s="5" t="inlineStr">
        <is>
          <t>Pino pega-corrente</t>
        </is>
      </c>
      <c r="E28" s="3" t="n"/>
      <c r="F28" s="3" t="n"/>
      <c r="G28" s="3" t="n"/>
      <c r="H28" s="3" t="n"/>
      <c r="I28" s="3" t="n"/>
    </row>
    <row r="29">
      <c r="A29" s="5" t="inlineStr">
        <is>
          <t>F6</t>
        </is>
      </c>
      <c r="B29" s="5" t="inlineStr">
        <is>
          <t>NR-12 An. V</t>
        </is>
      </c>
      <c r="C29" s="5" t="n">
        <v>3</v>
      </c>
      <c r="D29" s="5" t="inlineStr">
        <is>
          <t>Protetor da mão direita</t>
        </is>
      </c>
      <c r="E29" s="3" t="n"/>
      <c r="F29" s="3" t="n"/>
      <c r="G29" s="3" t="n"/>
      <c r="H29" s="3" t="n"/>
      <c r="I29" s="3" t="n"/>
    </row>
    <row r="30">
      <c r="A30" s="5" t="inlineStr">
        <is>
          <t>F6</t>
        </is>
      </c>
      <c r="B30" s="5" t="inlineStr">
        <is>
          <t>NR-12 An. V</t>
        </is>
      </c>
      <c r="C30" s="5" t="n">
        <v>4</v>
      </c>
      <c r="D30" s="5" t="inlineStr">
        <is>
          <t>Protetor da mão esquerda</t>
        </is>
      </c>
      <c r="E30" s="3" t="n"/>
      <c r="F30" s="3" t="n"/>
      <c r="G30" s="3" t="n"/>
      <c r="H30" s="3" t="n"/>
      <c r="I30" s="3" t="n"/>
    </row>
    <row r="31">
      <c r="A31" s="5" t="inlineStr">
        <is>
          <t>F6</t>
        </is>
      </c>
      <c r="B31" s="5" t="inlineStr">
        <is>
          <t>NR-12 An. V</t>
        </is>
      </c>
      <c r="C31" s="5" t="n">
        <v>5</v>
      </c>
      <c r="D31" s="5" t="inlineStr">
        <is>
          <t>Trava de segurança do acelerador</t>
        </is>
      </c>
      <c r="E31" s="3" t="n"/>
      <c r="F31" s="3" t="n"/>
      <c r="G31" s="3" t="n"/>
      <c r="H31" s="3" t="n"/>
      <c r="I31" s="3" t="n"/>
    </row>
    <row r="32">
      <c r="A32" s="5" t="inlineStr">
        <is>
          <t>F6</t>
        </is>
      </c>
      <c r="B32" s="5" t="inlineStr">
        <is>
          <t>NR-12 An. V</t>
        </is>
      </c>
      <c r="C32" s="5" t="n">
        <v>6</v>
      </c>
      <c r="D32" s="5" t="inlineStr">
        <is>
          <t>Manual em português disponível</t>
        </is>
      </c>
      <c r="E32" s="3" t="n"/>
      <c r="F32" s="3" t="n"/>
      <c r="G32" s="3" t="n"/>
      <c r="H32" s="3" t="n"/>
      <c r="I32" s="3" t="n"/>
    </row>
    <row r="33">
      <c r="A33" s="5" t="inlineStr">
        <is>
          <t>F6</t>
        </is>
      </c>
      <c r="B33" s="5" t="inlineStr">
        <is>
          <t>NR-12 An. V</t>
        </is>
      </c>
      <c r="C33" s="5" t="n">
        <v>7</v>
      </c>
      <c r="D33" s="5" t="inlineStr">
        <is>
          <t>Operador com treinamento de motosserra (mín. 8 h)</t>
        </is>
      </c>
      <c r="E33" s="3" t="n"/>
      <c r="F33" s="3" t="n"/>
      <c r="G33" s="3" t="n"/>
      <c r="H33" s="3" t="n"/>
      <c r="I33" s="3" t="n"/>
    </row>
    <row r="34">
      <c r="A34" s="5" t="inlineStr">
        <is>
          <t>F6</t>
        </is>
      </c>
      <c r="B34" s="5" t="inlineStr">
        <is>
          <t>NR-12 An. V</t>
        </is>
      </c>
      <c r="C34" s="5" t="n">
        <v>8</v>
      </c>
      <c r="D34" s="5" t="inlineStr">
        <is>
          <t>Corrente e sabre em bom estado</t>
        </is>
      </c>
      <c r="E34" s="3" t="n"/>
      <c r="F34" s="3" t="n"/>
      <c r="G34" s="3" t="n"/>
      <c r="H34" s="3" t="n"/>
      <c r="I34" s="3" t="n"/>
    </row>
    <row r="35">
      <c r="A35" s="5" t="inlineStr">
        <is>
          <t>F6</t>
        </is>
      </c>
      <c r="B35" s="5" t="inlineStr">
        <is>
          <t>NR-12 An. V</t>
        </is>
      </c>
      <c r="C35" s="5" t="n">
        <v>9</v>
      </c>
      <c r="D35" s="5" t="inlineStr">
        <is>
          <t>Abastecimento com motor desligado, longe de ignição</t>
        </is>
      </c>
      <c r="E35" s="3" t="n"/>
      <c r="F35" s="3" t="n"/>
      <c r="G35" s="3" t="n"/>
      <c r="H35" s="3" t="n"/>
      <c r="I35" s="3" t="n"/>
    </row>
    <row r="36">
      <c r="A36" s="5" t="inlineStr">
        <is>
          <t>F6</t>
        </is>
      </c>
      <c r="B36" s="5" t="inlineStr">
        <is>
          <t>NR-12 An. V</t>
        </is>
      </c>
      <c r="C36" s="5" t="n">
        <v>10</v>
      </c>
      <c r="D36" s="5" t="inlineStr">
        <is>
          <t>Protetor do sabre no transporte</t>
        </is>
      </c>
      <c r="E36" s="3" t="n"/>
      <c r="F36" s="3" t="n"/>
      <c r="G36" s="3" t="n"/>
      <c r="H36" s="3" t="n"/>
      <c r="I36" s="3" t="n"/>
    </row>
    <row r="38">
      <c r="D38" t="inlineStr">
        <is>
          <t>Para registrar o mesmo item em outra data/equipamento, copie a linha para baixo.</t>
        </is>
      </c>
    </row>
  </sheetData>
  <conditionalFormatting sqref="G2:G36">
    <cfRule type="cellIs" priority="1" operator="equal" dxfId="0">
      <formula>"NC"</formula>
    </cfRule>
  </conditionalFormatting>
  <dataValidations count="1">
    <dataValidation sqref="G2:G36" showDropDown="0" showInputMessage="0" showErrorMessage="0" allowBlank="1" type="list">
      <formula1>"C,NC,NA"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3" customWidth="1" min="4" max="4"/>
    <col width="14" customWidth="1" min="5" max="5"/>
    <col width="11" customWidth="1" min="6" max="6"/>
    <col width="11" customWidth="1" min="7" max="7"/>
    <col width="34" customWidth="1" min="8" max="8"/>
  </cols>
  <sheetData>
    <row r="1" ht="42" customHeight="1">
      <c r="A1" s="2" t="inlineStr">
        <is>
          <t>EPI</t>
        </is>
      </c>
      <c r="B1" s="2" t="inlineStr">
        <is>
          <t>Listado no PGR?</t>
        </is>
      </c>
      <c r="C1" s="2" t="inlineStr">
        <is>
          <t>Podador</t>
        </is>
      </c>
      <c r="D1" s="2" t="inlineStr">
        <is>
          <t>Ficha de entrega?</t>
        </is>
      </c>
      <c r="E1" s="2" t="inlineStr">
        <is>
          <t>Em uso no campo?</t>
        </is>
      </c>
      <c r="F1" s="2" t="inlineStr">
        <is>
          <t>CA válido?</t>
        </is>
      </c>
      <c r="G1" s="2" t="inlineStr">
        <is>
          <t>Nº da foto</t>
        </is>
      </c>
      <c r="H1" s="2" t="inlineStr">
        <is>
          <t>Estado / obs.</t>
        </is>
      </c>
    </row>
    <row r="2">
      <c r="A2" s="5" t="inlineStr">
        <is>
          <t>Capacete classe B (CA 29792)</t>
        </is>
      </c>
      <c r="B2" s="5" t="inlineStr">
        <is>
          <t>Sim</t>
        </is>
      </c>
      <c r="C2" s="5" t="inlineStr">
        <is>
          <t>P1</t>
        </is>
      </c>
      <c r="D2" s="3" t="n"/>
      <c r="E2" s="3" t="n"/>
      <c r="F2" s="3" t="n"/>
      <c r="G2" s="3" t="n"/>
      <c r="H2" s="3" t="n"/>
    </row>
    <row r="3">
      <c r="A3" s="5" t="inlineStr">
        <is>
          <t>Óculos (CA 10346)</t>
        </is>
      </c>
      <c r="B3" s="5" t="inlineStr">
        <is>
          <t>Sim</t>
        </is>
      </c>
      <c r="C3" s="5" t="inlineStr">
        <is>
          <t>P1</t>
        </is>
      </c>
      <c r="D3" s="3" t="n"/>
      <c r="E3" s="3" t="n"/>
      <c r="F3" s="3" t="n"/>
      <c r="G3" s="3" t="n"/>
      <c r="H3" s="3" t="n"/>
    </row>
    <row r="4">
      <c r="A4" s="5" t="inlineStr">
        <is>
          <t>Protetor auditivo (CA 35981)</t>
        </is>
      </c>
      <c r="B4" s="5" t="inlineStr">
        <is>
          <t>Sim</t>
        </is>
      </c>
      <c r="C4" s="5" t="inlineStr">
        <is>
          <t>P1</t>
        </is>
      </c>
      <c r="D4" s="3" t="n"/>
      <c r="E4" s="3" t="n"/>
      <c r="F4" s="3" t="n"/>
      <c r="G4" s="3" t="n"/>
      <c r="H4" s="3" t="n"/>
    </row>
    <row r="5">
      <c r="A5" s="5" t="inlineStr">
        <is>
          <t>Luva contra agentes mecânicos (CA 40029)</t>
        </is>
      </c>
      <c r="B5" s="5" t="inlineStr">
        <is>
          <t>Sim</t>
        </is>
      </c>
      <c r="C5" s="5" t="inlineStr">
        <is>
          <t>P1</t>
        </is>
      </c>
      <c r="D5" s="3" t="n"/>
      <c r="E5" s="3" t="n"/>
      <c r="F5" s="3" t="n"/>
      <c r="G5" s="3" t="n"/>
      <c r="H5" s="3" t="n"/>
    </row>
    <row r="6">
      <c r="A6" s="5" t="inlineStr">
        <is>
          <t>Perneira (CA 25388)</t>
        </is>
      </c>
      <c r="B6" s="5" t="inlineStr">
        <is>
          <t>Sim</t>
        </is>
      </c>
      <c r="C6" s="5" t="inlineStr">
        <is>
          <t>P1</t>
        </is>
      </c>
      <c r="D6" s="3" t="n"/>
      <c r="E6" s="3" t="n"/>
      <c r="F6" s="3" t="n"/>
      <c r="G6" s="3" t="n"/>
      <c r="H6" s="3" t="n"/>
    </row>
    <row r="7">
      <c r="A7" s="5" t="inlineStr">
        <is>
          <t>Botina tipo B (CA 12160)</t>
        </is>
      </c>
      <c r="B7" s="5" t="inlineStr">
        <is>
          <t>Sim</t>
        </is>
      </c>
      <c r="C7" s="5" t="inlineStr">
        <is>
          <t>P1</t>
        </is>
      </c>
      <c r="D7" s="3" t="n"/>
      <c r="E7" s="3" t="n"/>
      <c r="F7" s="3" t="n"/>
      <c r="G7" s="3" t="n"/>
      <c r="H7" s="3" t="n"/>
    </row>
    <row r="8">
      <c r="A8" s="5" t="inlineStr">
        <is>
          <t>Cinturão paraquedista e talabarte (CA 35509)</t>
        </is>
      </c>
      <c r="B8" s="5" t="inlineStr">
        <is>
          <t>Sim</t>
        </is>
      </c>
      <c r="C8" s="5" t="inlineStr">
        <is>
          <t>P1</t>
        </is>
      </c>
      <c r="D8" s="3" t="n"/>
      <c r="E8" s="3" t="n"/>
      <c r="F8" s="3" t="n"/>
      <c r="G8" s="3" t="n"/>
      <c r="H8" s="3" t="n"/>
    </row>
    <row r="9">
      <c r="A9" s="5" t="inlineStr">
        <is>
          <t>Calça/perneira de proteção contra corte por motosserra</t>
        </is>
      </c>
      <c r="B9" s="5" t="inlineStr">
        <is>
          <t>Não</t>
        </is>
      </c>
      <c r="C9" s="5" t="inlineStr">
        <is>
          <t>P1</t>
        </is>
      </c>
      <c r="D9" s="3" t="n"/>
      <c r="E9" s="3" t="n"/>
      <c r="F9" s="3" t="n"/>
      <c r="G9" s="3" t="n"/>
      <c r="H9" s="3" t="n"/>
    </row>
    <row r="10">
      <c r="A10" s="5" t="inlineStr">
        <is>
          <t>Protetor facial (viseira de tela)</t>
        </is>
      </c>
      <c r="B10" s="5" t="inlineStr">
        <is>
          <t>Não</t>
        </is>
      </c>
      <c r="C10" s="5" t="inlineStr">
        <is>
          <t>P1</t>
        </is>
      </c>
      <c r="D10" s="3" t="n"/>
      <c r="E10" s="3" t="n"/>
      <c r="F10" s="3" t="n"/>
      <c r="G10" s="3" t="n"/>
      <c r="H10" s="3" t="n"/>
    </row>
    <row r="11">
      <c r="A11" s="5" t="inlineStr">
        <is>
          <t>Luva de proteção para motosserra</t>
        </is>
      </c>
      <c r="B11" s="5" t="inlineStr">
        <is>
          <t>Não</t>
        </is>
      </c>
      <c r="C11" s="5" t="inlineStr">
        <is>
          <t>P1</t>
        </is>
      </c>
      <c r="D11" s="3" t="n"/>
      <c r="E11" s="3" t="n"/>
      <c r="F11" s="3" t="n"/>
      <c r="G11" s="3" t="n"/>
      <c r="H11" s="3" t="n"/>
    </row>
    <row r="12">
      <c r="A12" s="5" t="inlineStr">
        <is>
          <t>Vestimenta para risco elétrico/arco</t>
        </is>
      </c>
      <c r="B12" s="5" t="inlineStr">
        <is>
          <t>Não</t>
        </is>
      </c>
      <c r="C12" s="5" t="inlineStr">
        <is>
          <t>P1</t>
        </is>
      </c>
      <c r="D12" s="3" t="n"/>
      <c r="E12" s="3" t="n"/>
      <c r="F12" s="3" t="n"/>
      <c r="G12" s="3" t="n"/>
      <c r="H12" s="3" t="n"/>
    </row>
    <row r="13">
      <c r="A13" s="5" t="inlineStr">
        <is>
          <t>Colete refletivo</t>
        </is>
      </c>
      <c r="B13" s="5" t="inlineStr">
        <is>
          <t>Não</t>
        </is>
      </c>
      <c r="C13" s="5" t="inlineStr">
        <is>
          <t>P1</t>
        </is>
      </c>
      <c r="D13" s="3" t="n"/>
      <c r="E13" s="3" t="n"/>
      <c r="F13" s="3" t="n"/>
      <c r="G13" s="3" t="n"/>
      <c r="H13" s="3" t="n"/>
    </row>
    <row r="14">
      <c r="A14" s="5" t="inlineStr">
        <is>
          <t>Protetor solar</t>
        </is>
      </c>
      <c r="B14" s="5" t="inlineStr">
        <is>
          <t>Medida adm.</t>
        </is>
      </c>
      <c r="C14" s="5" t="inlineStr">
        <is>
          <t>P1</t>
        </is>
      </c>
      <c r="D14" s="3" t="n"/>
      <c r="E14" s="3" t="n"/>
      <c r="F14" s="3" t="n"/>
      <c r="G14" s="3" t="n"/>
      <c r="H14" s="3" t="n"/>
    </row>
    <row r="15">
      <c r="A15" s="5" t="inlineStr">
        <is>
          <t>Capacete classe B (CA 29792)</t>
        </is>
      </c>
      <c r="B15" s="5" t="inlineStr">
        <is>
          <t>Sim</t>
        </is>
      </c>
      <c r="C15" s="5" t="inlineStr">
        <is>
          <t>P2</t>
        </is>
      </c>
      <c r="D15" s="3" t="n"/>
      <c r="E15" s="3" t="n"/>
      <c r="F15" s="3" t="n"/>
      <c r="G15" s="3" t="n"/>
      <c r="H15" s="3" t="n"/>
    </row>
    <row r="16">
      <c r="A16" s="5" t="inlineStr">
        <is>
          <t>Óculos (CA 10346)</t>
        </is>
      </c>
      <c r="B16" s="5" t="inlineStr">
        <is>
          <t>Sim</t>
        </is>
      </c>
      <c r="C16" s="5" t="inlineStr">
        <is>
          <t>P2</t>
        </is>
      </c>
      <c r="D16" s="3" t="n"/>
      <c r="E16" s="3" t="n"/>
      <c r="F16" s="3" t="n"/>
      <c r="G16" s="3" t="n"/>
      <c r="H16" s="3" t="n"/>
    </row>
    <row r="17">
      <c r="A17" s="5" t="inlineStr">
        <is>
          <t>Protetor auditivo (CA 35981)</t>
        </is>
      </c>
      <c r="B17" s="5" t="inlineStr">
        <is>
          <t>Sim</t>
        </is>
      </c>
      <c r="C17" s="5" t="inlineStr">
        <is>
          <t>P2</t>
        </is>
      </c>
      <c r="D17" s="3" t="n"/>
      <c r="E17" s="3" t="n"/>
      <c r="F17" s="3" t="n"/>
      <c r="G17" s="3" t="n"/>
      <c r="H17" s="3" t="n"/>
    </row>
    <row r="18">
      <c r="A18" s="5" t="inlineStr">
        <is>
          <t>Luva contra agentes mecânicos (CA 40029)</t>
        </is>
      </c>
      <c r="B18" s="5" t="inlineStr">
        <is>
          <t>Sim</t>
        </is>
      </c>
      <c r="C18" s="5" t="inlineStr">
        <is>
          <t>P2</t>
        </is>
      </c>
      <c r="D18" s="3" t="n"/>
      <c r="E18" s="3" t="n"/>
      <c r="F18" s="3" t="n"/>
      <c r="G18" s="3" t="n"/>
      <c r="H18" s="3" t="n"/>
    </row>
    <row r="19">
      <c r="A19" s="5" t="inlineStr">
        <is>
          <t>Perneira (CA 25388)</t>
        </is>
      </c>
      <c r="B19" s="5" t="inlineStr">
        <is>
          <t>Sim</t>
        </is>
      </c>
      <c r="C19" s="5" t="inlineStr">
        <is>
          <t>P2</t>
        </is>
      </c>
      <c r="D19" s="3" t="n"/>
      <c r="E19" s="3" t="n"/>
      <c r="F19" s="3" t="n"/>
      <c r="G19" s="3" t="n"/>
      <c r="H19" s="3" t="n"/>
    </row>
    <row r="20">
      <c r="A20" s="5" t="inlineStr">
        <is>
          <t>Botina tipo B (CA 12160)</t>
        </is>
      </c>
      <c r="B20" s="5" t="inlineStr">
        <is>
          <t>Sim</t>
        </is>
      </c>
      <c r="C20" s="5" t="inlineStr">
        <is>
          <t>P2</t>
        </is>
      </c>
      <c r="D20" s="3" t="n"/>
      <c r="E20" s="3" t="n"/>
      <c r="F20" s="3" t="n"/>
      <c r="G20" s="3" t="n"/>
      <c r="H20" s="3" t="n"/>
    </row>
    <row r="21">
      <c r="A21" s="5" t="inlineStr">
        <is>
          <t>Cinturão paraquedista e talabarte (CA 35509)</t>
        </is>
      </c>
      <c r="B21" s="5" t="inlineStr">
        <is>
          <t>Sim</t>
        </is>
      </c>
      <c r="C21" s="5" t="inlineStr">
        <is>
          <t>P2</t>
        </is>
      </c>
      <c r="D21" s="3" t="n"/>
      <c r="E21" s="3" t="n"/>
      <c r="F21" s="3" t="n"/>
      <c r="G21" s="3" t="n"/>
      <c r="H21" s="3" t="n"/>
    </row>
    <row r="22">
      <c r="A22" s="5" t="inlineStr">
        <is>
          <t>Calça/perneira de proteção contra corte por motosserra</t>
        </is>
      </c>
      <c r="B22" s="5" t="inlineStr">
        <is>
          <t>Não</t>
        </is>
      </c>
      <c r="C22" s="5" t="inlineStr">
        <is>
          <t>P2</t>
        </is>
      </c>
      <c r="D22" s="3" t="n"/>
      <c r="E22" s="3" t="n"/>
      <c r="F22" s="3" t="n"/>
      <c r="G22" s="3" t="n"/>
      <c r="H22" s="3" t="n"/>
    </row>
    <row r="23">
      <c r="A23" s="5" t="inlineStr">
        <is>
          <t>Protetor facial (viseira de tela)</t>
        </is>
      </c>
      <c r="B23" s="5" t="inlineStr">
        <is>
          <t>Não</t>
        </is>
      </c>
      <c r="C23" s="5" t="inlineStr">
        <is>
          <t>P2</t>
        </is>
      </c>
      <c r="D23" s="3" t="n"/>
      <c r="E23" s="3" t="n"/>
      <c r="F23" s="3" t="n"/>
      <c r="G23" s="3" t="n"/>
      <c r="H23" s="3" t="n"/>
    </row>
    <row r="24">
      <c r="A24" s="5" t="inlineStr">
        <is>
          <t>Luva de proteção para motosserra</t>
        </is>
      </c>
      <c r="B24" s="5" t="inlineStr">
        <is>
          <t>Não</t>
        </is>
      </c>
      <c r="C24" s="5" t="inlineStr">
        <is>
          <t>P2</t>
        </is>
      </c>
      <c r="D24" s="3" t="n"/>
      <c r="E24" s="3" t="n"/>
      <c r="F24" s="3" t="n"/>
      <c r="G24" s="3" t="n"/>
      <c r="H24" s="3" t="n"/>
    </row>
    <row r="25">
      <c r="A25" s="5" t="inlineStr">
        <is>
          <t>Vestimenta para risco elétrico/arco</t>
        </is>
      </c>
      <c r="B25" s="5" t="inlineStr">
        <is>
          <t>Não</t>
        </is>
      </c>
      <c r="C25" s="5" t="inlineStr">
        <is>
          <t>P2</t>
        </is>
      </c>
      <c r="D25" s="3" t="n"/>
      <c r="E25" s="3" t="n"/>
      <c r="F25" s="3" t="n"/>
      <c r="G25" s="3" t="n"/>
      <c r="H25" s="3" t="n"/>
    </row>
    <row r="26">
      <c r="A26" s="5" t="inlineStr">
        <is>
          <t>Colete refletivo</t>
        </is>
      </c>
      <c r="B26" s="5" t="inlineStr">
        <is>
          <t>Não</t>
        </is>
      </c>
      <c r="C26" s="5" t="inlineStr">
        <is>
          <t>P2</t>
        </is>
      </c>
      <c r="D26" s="3" t="n"/>
      <c r="E26" s="3" t="n"/>
      <c r="F26" s="3" t="n"/>
      <c r="G26" s="3" t="n"/>
      <c r="H26" s="3" t="n"/>
    </row>
    <row r="27">
      <c r="A27" s="5" t="inlineStr">
        <is>
          <t>Protetor solar</t>
        </is>
      </c>
      <c r="B27" s="5" t="inlineStr">
        <is>
          <t>Medida adm.</t>
        </is>
      </c>
      <c r="C27" s="5" t="inlineStr">
        <is>
          <t>P2</t>
        </is>
      </c>
      <c r="D27" s="3" t="n"/>
      <c r="E27" s="3" t="n"/>
      <c r="F27" s="3" t="n"/>
      <c r="G27" s="3" t="n"/>
      <c r="H27" s="3" t="n"/>
    </row>
  </sheetData>
  <conditionalFormatting sqref="E2:E27">
    <cfRule type="cellIs" priority="1" operator="equal" dxfId="0">
      <formula>"Não"</formula>
    </cfRule>
  </conditionalFormatting>
  <dataValidations count="2">
    <dataValidation sqref="D2:D27 F2:F27" showDropDown="0" showInputMessage="0" showErrorMessage="0" allowBlank="1" type="list">
      <formula1>"Sim,Não"</formula1>
    </dataValidation>
    <dataValidation sqref="E2:E27" showDropDown="0" showInputMessage="0" showErrorMessage="0" allowBlank="1" type="list">
      <formula1>"Sim,Não,Parcial"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50" customWidth="1" min="3" max="3"/>
    <col width="12" customWidth="1" min="4" max="4"/>
    <col width="16" customWidth="1" min="5" max="5"/>
    <col width="28" customWidth="1" min="6" max="6"/>
  </cols>
  <sheetData>
    <row r="1" ht="42" customHeight="1">
      <c r="A1" s="2" t="inlineStr">
        <is>
          <t>Nº foto</t>
        </is>
      </c>
      <c r="B1" s="2" t="inlineStr">
        <is>
          <t>Data</t>
        </is>
      </c>
      <c r="C1" s="2" t="inlineStr">
        <is>
          <t>O que mostra</t>
        </is>
      </c>
      <c r="D1" s="2" t="inlineStr">
        <is>
          <t>Ficha/item</t>
        </is>
      </c>
      <c r="E1" s="2" t="inlineStr">
        <is>
          <t>Precisa desfocar?</t>
        </is>
      </c>
      <c r="F1" s="2" t="inlineStr">
        <is>
          <t>Arquivo</t>
        </is>
      </c>
    </row>
    <row r="2">
      <c r="A2" s="3" t="n"/>
      <c r="B2" s="3" t="n"/>
      <c r="C2" s="3" t="n"/>
      <c r="D2" s="3" t="n"/>
      <c r="E2" s="3" t="n"/>
      <c r="F2" s="3" t="n"/>
    </row>
    <row r="3">
      <c r="A3" s="3" t="n"/>
      <c r="B3" s="3" t="n"/>
      <c r="C3" s="3" t="n"/>
      <c r="D3" s="3" t="n"/>
      <c r="E3" s="3" t="n"/>
      <c r="F3" s="3" t="n"/>
    </row>
    <row r="4">
      <c r="A4" s="3" t="n"/>
      <c r="B4" s="3" t="n"/>
      <c r="C4" s="3" t="n"/>
      <c r="D4" s="3" t="n"/>
      <c r="E4" s="3" t="n"/>
      <c r="F4" s="3" t="n"/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3" t="n"/>
      <c r="B21" s="3" t="n"/>
      <c r="C21" s="3" t="n"/>
      <c r="D21" s="3" t="n"/>
      <c r="E21" s="3" t="n"/>
      <c r="F21" s="3" t="n"/>
    </row>
    <row r="22">
      <c r="A22" s="3" t="n"/>
      <c r="B22" s="3" t="n"/>
      <c r="C22" s="3" t="n"/>
      <c r="D22" s="3" t="n"/>
      <c r="E22" s="3" t="n"/>
      <c r="F22" s="3" t="n"/>
    </row>
    <row r="23">
      <c r="A23" s="3" t="n"/>
      <c r="B23" s="3" t="n"/>
      <c r="C23" s="3" t="n"/>
      <c r="D23" s="3" t="n"/>
      <c r="E23" s="3" t="n"/>
      <c r="F23" s="3" t="n"/>
    </row>
    <row r="24">
      <c r="A24" s="3" t="n"/>
      <c r="B24" s="3" t="n"/>
      <c r="C24" s="3" t="n"/>
      <c r="D24" s="3" t="n"/>
      <c r="E24" s="3" t="n"/>
      <c r="F24" s="3" t="n"/>
    </row>
    <row r="25">
      <c r="A25" s="3" t="n"/>
      <c r="B25" s="3" t="n"/>
      <c r="C25" s="3" t="n"/>
      <c r="D25" s="3" t="n"/>
      <c r="E25" s="3" t="n"/>
      <c r="F25" s="3" t="n"/>
    </row>
    <row r="26">
      <c r="A26" s="3" t="n"/>
      <c r="B26" s="3" t="n"/>
      <c r="C26" s="3" t="n"/>
      <c r="D26" s="3" t="n"/>
      <c r="E26" s="3" t="n"/>
      <c r="F26" s="3" t="n"/>
    </row>
    <row r="27">
      <c r="A27" s="3" t="n"/>
      <c r="B27" s="3" t="n"/>
      <c r="C27" s="3" t="n"/>
      <c r="D27" s="3" t="n"/>
      <c r="E27" s="3" t="n"/>
      <c r="F27" s="3" t="n"/>
    </row>
    <row r="28">
      <c r="A28" s="3" t="n"/>
      <c r="B28" s="3" t="n"/>
      <c r="C28" s="3" t="n"/>
      <c r="D28" s="3" t="n"/>
      <c r="E28" s="3" t="n"/>
      <c r="F28" s="3" t="n"/>
    </row>
    <row r="29">
      <c r="A29" s="3" t="n"/>
      <c r="B29" s="3" t="n"/>
      <c r="C29" s="3" t="n"/>
      <c r="D29" s="3" t="n"/>
      <c r="E29" s="3" t="n"/>
      <c r="F29" s="3" t="n"/>
    </row>
    <row r="30">
      <c r="A30" s="3" t="n"/>
      <c r="B30" s="3" t="n"/>
      <c r="C30" s="3" t="n"/>
      <c r="D30" s="3" t="n"/>
      <c r="E30" s="3" t="n"/>
      <c r="F30" s="3" t="n"/>
    </row>
    <row r="31">
      <c r="A31" s="3" t="n"/>
      <c r="B31" s="3" t="n"/>
      <c r="C31" s="3" t="n"/>
      <c r="D31" s="3" t="n"/>
      <c r="E31" s="3" t="n"/>
      <c r="F31" s="3" t="n"/>
    </row>
    <row r="32">
      <c r="A32" s="3" t="n"/>
      <c r="B32" s="3" t="n"/>
      <c r="C32" s="3" t="n"/>
      <c r="D32" s="3" t="n"/>
      <c r="E32" s="3" t="n"/>
      <c r="F32" s="3" t="n"/>
    </row>
    <row r="33">
      <c r="A33" s="3" t="n"/>
      <c r="B33" s="3" t="n"/>
      <c r="C33" s="3" t="n"/>
      <c r="D33" s="3" t="n"/>
      <c r="E33" s="3" t="n"/>
      <c r="F33" s="3" t="n"/>
    </row>
    <row r="34">
      <c r="A34" s="3" t="n"/>
      <c r="B34" s="3" t="n"/>
      <c r="C34" s="3" t="n"/>
      <c r="D34" s="3" t="n"/>
      <c r="E34" s="3" t="n"/>
      <c r="F34" s="3" t="n"/>
    </row>
    <row r="35">
      <c r="A35" s="3" t="n"/>
      <c r="B35" s="3" t="n"/>
      <c r="C35" s="3" t="n"/>
      <c r="D35" s="3" t="n"/>
      <c r="E35" s="3" t="n"/>
      <c r="F35" s="3" t="n"/>
    </row>
    <row r="36">
      <c r="A36" s="3" t="n"/>
      <c r="B36" s="3" t="n"/>
      <c r="C36" s="3" t="n"/>
      <c r="D36" s="3" t="n"/>
      <c r="E36" s="3" t="n"/>
      <c r="F36" s="3" t="n"/>
    </row>
    <row r="37">
      <c r="A37" s="3" t="n"/>
      <c r="B37" s="3" t="n"/>
      <c r="C37" s="3" t="n"/>
      <c r="D37" s="3" t="n"/>
      <c r="E37" s="3" t="n"/>
      <c r="F37" s="3" t="n"/>
    </row>
    <row r="38">
      <c r="A38" s="3" t="n"/>
      <c r="B38" s="3" t="n"/>
      <c r="C38" s="3" t="n"/>
      <c r="D38" s="3" t="n"/>
      <c r="E38" s="3" t="n"/>
      <c r="F38" s="3" t="n"/>
    </row>
    <row r="39">
      <c r="A39" s="3" t="n"/>
      <c r="B39" s="3" t="n"/>
      <c r="C39" s="3" t="n"/>
      <c r="D39" s="3" t="n"/>
      <c r="E39" s="3" t="n"/>
      <c r="F39" s="3" t="n"/>
    </row>
    <row r="40">
      <c r="A40" s="3" t="n"/>
      <c r="B40" s="3" t="n"/>
      <c r="C40" s="3" t="n"/>
      <c r="D40" s="3" t="n"/>
      <c r="E40" s="3" t="n"/>
      <c r="F40" s="3" t="n"/>
    </row>
    <row r="41">
      <c r="A41" s="3" t="n"/>
      <c r="B41" s="3" t="n"/>
      <c r="C41" s="3" t="n"/>
      <c r="D41" s="3" t="n"/>
      <c r="E41" s="3" t="n"/>
      <c r="F41" s="3" t="n"/>
    </row>
    <row r="42">
      <c r="A42" s="3" t="n"/>
      <c r="B42" s="3" t="n"/>
      <c r="C42" s="3" t="n"/>
      <c r="D42" s="3" t="n"/>
      <c r="E42" s="3" t="n"/>
      <c r="F42" s="3" t="n"/>
    </row>
    <row r="43">
      <c r="A43" s="3" t="n"/>
      <c r="B43" s="3" t="n"/>
      <c r="C43" s="3" t="n"/>
      <c r="D43" s="3" t="n"/>
      <c r="E43" s="3" t="n"/>
      <c r="F43" s="3" t="n"/>
    </row>
    <row r="44">
      <c r="A44" s="3" t="n"/>
      <c r="B44" s="3" t="n"/>
      <c r="C44" s="3" t="n"/>
      <c r="D44" s="3" t="n"/>
      <c r="E44" s="3" t="n"/>
      <c r="F44" s="3" t="n"/>
    </row>
    <row r="45">
      <c r="A45" s="3" t="n"/>
      <c r="B45" s="3" t="n"/>
      <c r="C45" s="3" t="n"/>
      <c r="D45" s="3" t="n"/>
      <c r="E45" s="3" t="n"/>
      <c r="F45" s="3" t="n"/>
    </row>
    <row r="46">
      <c r="A46" s="3" t="n"/>
      <c r="B46" s="3" t="n"/>
      <c r="C46" s="3" t="n"/>
      <c r="D46" s="3" t="n"/>
      <c r="E46" s="3" t="n"/>
      <c r="F46" s="3" t="n"/>
    </row>
    <row r="47">
      <c r="A47" s="3" t="n"/>
      <c r="B47" s="3" t="n"/>
      <c r="C47" s="3" t="n"/>
      <c r="D47" s="3" t="n"/>
      <c r="E47" s="3" t="n"/>
      <c r="F47" s="3" t="n"/>
    </row>
    <row r="48">
      <c r="A48" s="3" t="n"/>
      <c r="B48" s="3" t="n"/>
      <c r="C48" s="3" t="n"/>
      <c r="D48" s="3" t="n"/>
      <c r="E48" s="3" t="n"/>
      <c r="F48" s="3" t="n"/>
    </row>
    <row r="49">
      <c r="A49" s="3" t="n"/>
      <c r="B49" s="3" t="n"/>
      <c r="C49" s="3" t="n"/>
      <c r="D49" s="3" t="n"/>
      <c r="E49" s="3" t="n"/>
      <c r="F49" s="3" t="n"/>
    </row>
    <row r="50">
      <c r="A50" s="3" t="n"/>
      <c r="B50" s="3" t="n"/>
      <c r="C50" s="3" t="n"/>
      <c r="D50" s="3" t="n"/>
      <c r="E50" s="3" t="n"/>
      <c r="F50" s="3" t="n"/>
    </row>
    <row r="51">
      <c r="A51" s="3" t="n"/>
      <c r="B51" s="3" t="n"/>
      <c r="C51" s="3" t="n"/>
      <c r="D51" s="3" t="n"/>
      <c r="E51" s="3" t="n"/>
      <c r="F51" s="3" t="n"/>
    </row>
    <row r="52">
      <c r="A52" s="3" t="n"/>
      <c r="B52" s="3" t="n"/>
      <c r="C52" s="3" t="n"/>
      <c r="D52" s="3" t="n"/>
      <c r="E52" s="3" t="n"/>
      <c r="F52" s="3" t="n"/>
    </row>
    <row r="53">
      <c r="A53" s="3" t="n"/>
      <c r="B53" s="3" t="n"/>
      <c r="C53" s="3" t="n"/>
      <c r="D53" s="3" t="n"/>
      <c r="E53" s="3" t="n"/>
      <c r="F53" s="3" t="n"/>
    </row>
    <row r="54">
      <c r="A54" s="3" t="n"/>
      <c r="B54" s="3" t="n"/>
      <c r="C54" s="3" t="n"/>
      <c r="D54" s="3" t="n"/>
      <c r="E54" s="3" t="n"/>
      <c r="F54" s="3" t="n"/>
    </row>
    <row r="55">
      <c r="A55" s="3" t="n"/>
      <c r="B55" s="3" t="n"/>
      <c r="C55" s="3" t="n"/>
      <c r="D55" s="3" t="n"/>
      <c r="E55" s="3" t="n"/>
      <c r="F55" s="3" t="n"/>
    </row>
    <row r="56">
      <c r="A56" s="3" t="n"/>
      <c r="B56" s="3" t="n"/>
      <c r="C56" s="3" t="n"/>
      <c r="D56" s="3" t="n"/>
      <c r="E56" s="3" t="n"/>
      <c r="F56" s="3" t="n"/>
    </row>
    <row r="57">
      <c r="A57" s="3" t="n"/>
      <c r="B57" s="3" t="n"/>
      <c r="C57" s="3" t="n"/>
      <c r="D57" s="3" t="n"/>
      <c r="E57" s="3" t="n"/>
      <c r="F57" s="3" t="n"/>
    </row>
    <row r="58">
      <c r="A58" s="3" t="n"/>
      <c r="B58" s="3" t="n"/>
      <c r="C58" s="3" t="n"/>
      <c r="D58" s="3" t="n"/>
      <c r="E58" s="3" t="n"/>
      <c r="F58" s="3" t="n"/>
    </row>
    <row r="59">
      <c r="A59" s="3" t="n"/>
      <c r="B59" s="3" t="n"/>
      <c r="C59" s="3" t="n"/>
      <c r="D59" s="3" t="n"/>
      <c r="E59" s="3" t="n"/>
      <c r="F59" s="3" t="n"/>
    </row>
    <row r="60">
      <c r="A60" s="3" t="n"/>
      <c r="B60" s="3" t="n"/>
      <c r="C60" s="3" t="n"/>
      <c r="D60" s="3" t="n"/>
      <c r="E60" s="3" t="n"/>
      <c r="F60" s="3" t="n"/>
    </row>
    <row r="61">
      <c r="A61" s="3" t="n"/>
      <c r="B61" s="3" t="n"/>
      <c r="C61" s="3" t="n"/>
      <c r="D61" s="3" t="n"/>
      <c r="E61" s="3" t="n"/>
      <c r="F61" s="3" t="n"/>
    </row>
    <row r="62">
      <c r="A62" s="3" t="n"/>
      <c r="B62" s="3" t="n"/>
      <c r="C62" s="3" t="n"/>
      <c r="D62" s="3" t="n"/>
      <c r="E62" s="3" t="n"/>
      <c r="F62" s="3" t="n"/>
    </row>
    <row r="63">
      <c r="A63" s="3" t="n"/>
      <c r="B63" s="3" t="n"/>
      <c r="C63" s="3" t="n"/>
      <c r="D63" s="3" t="n"/>
      <c r="E63" s="3" t="n"/>
      <c r="F63" s="3" t="n"/>
    </row>
    <row r="64">
      <c r="A64" s="3" t="n"/>
      <c r="B64" s="3" t="n"/>
      <c r="C64" s="3" t="n"/>
      <c r="D64" s="3" t="n"/>
      <c r="E64" s="3" t="n"/>
      <c r="F64" s="3" t="n"/>
    </row>
    <row r="65">
      <c r="A65" s="3" t="n"/>
      <c r="B65" s="3" t="n"/>
      <c r="C65" s="3" t="n"/>
      <c r="D65" s="3" t="n"/>
      <c r="E65" s="3" t="n"/>
      <c r="F65" s="3" t="n"/>
    </row>
    <row r="66">
      <c r="A66" s="3" t="n"/>
      <c r="B66" s="3" t="n"/>
      <c r="C66" s="3" t="n"/>
      <c r="D66" s="3" t="n"/>
      <c r="E66" s="3" t="n"/>
      <c r="F66" s="3" t="n"/>
    </row>
    <row r="67">
      <c r="A67" s="3" t="n"/>
      <c r="B67" s="3" t="n"/>
      <c r="C67" s="3" t="n"/>
      <c r="D67" s="3" t="n"/>
      <c r="E67" s="3" t="n"/>
      <c r="F67" s="3" t="n"/>
    </row>
    <row r="68">
      <c r="A68" s="3" t="n"/>
      <c r="B68" s="3" t="n"/>
      <c r="C68" s="3" t="n"/>
      <c r="D68" s="3" t="n"/>
      <c r="E68" s="3" t="n"/>
      <c r="F68" s="3" t="n"/>
    </row>
    <row r="69">
      <c r="A69" s="3" t="n"/>
      <c r="B69" s="3" t="n"/>
      <c r="C69" s="3" t="n"/>
      <c r="D69" s="3" t="n"/>
      <c r="E69" s="3" t="n"/>
      <c r="F69" s="3" t="n"/>
    </row>
    <row r="70">
      <c r="A70" s="3" t="n"/>
      <c r="B70" s="3" t="n"/>
      <c r="C70" s="3" t="n"/>
      <c r="D70" s="3" t="n"/>
      <c r="E70" s="3" t="n"/>
      <c r="F70" s="3" t="n"/>
    </row>
    <row r="71">
      <c r="A71" s="3" t="n"/>
      <c r="B71" s="3" t="n"/>
      <c r="C71" s="3" t="n"/>
      <c r="D71" s="3" t="n"/>
      <c r="E71" s="3" t="n"/>
      <c r="F71" s="3" t="n"/>
    </row>
    <row r="72">
      <c r="A72" s="3" t="n"/>
      <c r="B72" s="3" t="n"/>
      <c r="C72" s="3" t="n"/>
      <c r="D72" s="3" t="n"/>
      <c r="E72" s="3" t="n"/>
      <c r="F72" s="3" t="n"/>
    </row>
    <row r="73">
      <c r="A73" s="3" t="n"/>
      <c r="B73" s="3" t="n"/>
      <c r="C73" s="3" t="n"/>
      <c r="D73" s="3" t="n"/>
      <c r="E73" s="3" t="n"/>
      <c r="F73" s="3" t="n"/>
    </row>
    <row r="74">
      <c r="A74" s="3" t="n"/>
      <c r="B74" s="3" t="n"/>
      <c r="C74" s="3" t="n"/>
      <c r="D74" s="3" t="n"/>
      <c r="E74" s="3" t="n"/>
      <c r="F74" s="3" t="n"/>
    </row>
    <row r="75">
      <c r="A75" s="3" t="n"/>
      <c r="B75" s="3" t="n"/>
      <c r="C75" s="3" t="n"/>
      <c r="D75" s="3" t="n"/>
      <c r="E75" s="3" t="n"/>
      <c r="F75" s="3" t="n"/>
    </row>
    <row r="76">
      <c r="A76" s="3" t="n"/>
      <c r="B76" s="3" t="n"/>
      <c r="C76" s="3" t="n"/>
      <c r="D76" s="3" t="n"/>
      <c r="E76" s="3" t="n"/>
      <c r="F76" s="3" t="n"/>
    </row>
    <row r="77">
      <c r="A77" s="3" t="n"/>
      <c r="B77" s="3" t="n"/>
      <c r="C77" s="3" t="n"/>
      <c r="D77" s="3" t="n"/>
      <c r="E77" s="3" t="n"/>
      <c r="F77" s="3" t="n"/>
    </row>
    <row r="78">
      <c r="A78" s="3" t="n"/>
      <c r="B78" s="3" t="n"/>
      <c r="C78" s="3" t="n"/>
      <c r="D78" s="3" t="n"/>
      <c r="E78" s="3" t="n"/>
      <c r="F78" s="3" t="n"/>
    </row>
    <row r="79">
      <c r="A79" s="3" t="n"/>
      <c r="B79" s="3" t="n"/>
      <c r="C79" s="3" t="n"/>
      <c r="D79" s="3" t="n"/>
      <c r="E79" s="3" t="n"/>
      <c r="F79" s="3" t="n"/>
    </row>
    <row r="80">
      <c r="A80" s="3" t="n"/>
      <c r="B80" s="3" t="n"/>
      <c r="C80" s="3" t="n"/>
      <c r="D80" s="3" t="n"/>
      <c r="E80" s="3" t="n"/>
      <c r="F80" s="3" t="n"/>
    </row>
    <row r="81">
      <c r="A81" s="3" t="n"/>
      <c r="B81" s="3" t="n"/>
      <c r="C81" s="3" t="n"/>
      <c r="D81" s="3" t="n"/>
      <c r="E81" s="3" t="n"/>
      <c r="F81" s="3" t="n"/>
    </row>
  </sheetData>
  <dataValidations count="1">
    <dataValidation sqref="E2:E81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</cols>
  <sheetData>
    <row r="1">
      <c r="A1" s="7" t="inlineStr">
        <is>
          <t>RUÍDO (amostras válidas)</t>
        </is>
      </c>
    </row>
    <row r="2">
      <c r="A2" t="inlineStr">
        <is>
          <t>Amostras lançadas</t>
        </is>
      </c>
      <c r="B2" s="8">
        <f>COUNTA(Dosimetria!L2:L13)</f>
        <v/>
      </c>
    </row>
    <row r="3">
      <c r="A3" t="inlineStr">
        <is>
          <t>Amostras válidas (calibração ±1 dB)</t>
        </is>
      </c>
      <c r="B3" s="8">
        <f>COUNTIF(Dosimetria!I2:I13,"Sim")</f>
        <v/>
      </c>
    </row>
    <row r="4">
      <c r="A4" t="inlineStr">
        <is>
          <t>NEN mínimo (dB(A))</t>
        </is>
      </c>
      <c r="B4" s="8">
        <f>IF(COUNTIF(Dosimetria!I2:I13,"Sim")=0,"",_xlfn.MINIFS(Dosimetria!P2:P13,Dosimetria!I2:I13,"Sim"))</f>
        <v/>
      </c>
    </row>
    <row r="5">
      <c r="A5" t="inlineStr">
        <is>
          <t>NEN máximo (dB(A))</t>
        </is>
      </c>
      <c r="B5" s="8">
        <f>IF(COUNTIF(Dosimetria!I2:I13,"Sim")=0,"",_xlfn.MAXIFS(Dosimetria!P2:P13,Dosimetria!I2:I13,"Sim"))</f>
        <v/>
      </c>
    </row>
    <row r="6">
      <c r="A6" t="inlineStr">
        <is>
          <t>Amostras acima do limite NHO-01 (NEN ≥ 85)</t>
        </is>
      </c>
      <c r="B6" s="8">
        <f>COUNTIF(Dosimetria!Q2:Q13,"Acima do limite")</f>
        <v/>
      </c>
    </row>
    <row r="7">
      <c r="A7" t="inlineStr">
        <is>
          <t>Amostras no nível de ação (82 ≤ NEN &lt; 85)</t>
        </is>
      </c>
      <c r="B7" s="8">
        <f>COUNTIF(Dosimetria!Q2:Q13,"Nível de ação")</f>
        <v/>
      </c>
    </row>
    <row r="8">
      <c r="A8" t="inlineStr">
        <is>
          <t>Amostras acima do LT da NR-15 (dose &gt; 100%)</t>
        </is>
      </c>
      <c r="B8" s="8">
        <f>COUNTIF(Dosimetria!R2:R13,"Acima do LT (insalubre)")</f>
        <v/>
      </c>
    </row>
    <row r="9">
      <c r="A9" t="inlineStr"/>
    </row>
    <row r="10">
      <c r="A10" s="7" t="inlineStr">
        <is>
          <t>CONFORMIDADE (itens verificados)</t>
        </is>
      </c>
    </row>
    <row r="11">
      <c r="A11" t="inlineStr">
        <is>
          <t>NR-10 — itens conformes (C)</t>
        </is>
      </c>
      <c r="B11" s="8">
        <f>COUNTIFS(Verificacao!B:B,"NR-10",Verificacao!G:G,"C")</f>
        <v/>
      </c>
    </row>
    <row r="12">
      <c r="A12" t="inlineStr">
        <is>
          <t>NR-10 — itens não conformes (NC)</t>
        </is>
      </c>
      <c r="B12" s="8">
        <f>COUNTIFS(Verificacao!B:B,"NR-10",Verificacao!G:G,"NC")</f>
        <v/>
      </c>
    </row>
    <row r="13">
      <c r="A13" t="inlineStr">
        <is>
          <t>NR-10 — % de conformidade (C / (C+NC))</t>
        </is>
      </c>
      <c r="B13" s="9">
        <f>IFERROR(COUNTIFS(Verificacao!B:B,"NR-10",Verificacao!G:G,"C")/(COUNTIFS(Verificacao!B:B,"NR-10",Verificacao!G:G,"C")+COUNTIFS(Verificacao!B:B,"NR-10",Verificacao!G:G,"NC")),"")</f>
        <v/>
      </c>
    </row>
    <row r="14">
      <c r="A14" t="inlineStr">
        <is>
          <t>NR-35 — itens conformes (C)</t>
        </is>
      </c>
      <c r="B14" s="8">
        <f>COUNTIFS(Verificacao!B:B,"NR-35",Verificacao!G:G,"C")</f>
        <v/>
      </c>
    </row>
    <row r="15">
      <c r="A15" t="inlineStr">
        <is>
          <t>NR-35 — itens não conformes (NC)</t>
        </is>
      </c>
      <c r="B15" s="8">
        <f>COUNTIFS(Verificacao!B:B,"NR-35",Verificacao!G:G,"NC")</f>
        <v/>
      </c>
    </row>
    <row r="16">
      <c r="A16" t="inlineStr">
        <is>
          <t>NR-35 — % de conformidade (C / (C+NC))</t>
        </is>
      </c>
      <c r="B16" s="9">
        <f>IFERROR(COUNTIFS(Verificacao!B:B,"NR-35",Verificacao!G:G,"C")/(COUNTIFS(Verificacao!B:B,"NR-35",Verificacao!G:G,"C")+COUNTIFS(Verificacao!B:B,"NR-35",Verificacao!G:G,"NC")),"")</f>
        <v/>
      </c>
    </row>
    <row r="17">
      <c r="A17" t="inlineStr">
        <is>
          <t>NR-12 An. V — itens conformes (C)</t>
        </is>
      </c>
      <c r="B17" s="8">
        <f>COUNTIFS(Verificacao!B:B,"NR-12 An. V",Verificacao!G:G,"C")</f>
        <v/>
      </c>
    </row>
    <row r="18">
      <c r="A18" t="inlineStr">
        <is>
          <t>NR-12 An. V — itens não conformes (NC)</t>
        </is>
      </c>
      <c r="B18" s="8">
        <f>COUNTIFS(Verificacao!B:B,"NR-12 An. V",Verificacao!G:G,"NC")</f>
        <v/>
      </c>
    </row>
    <row r="19">
      <c r="A19" t="inlineStr">
        <is>
          <t>NR-12 An. V — % de conformidade (C / (C+NC))</t>
        </is>
      </c>
      <c r="B19" s="9">
        <f>IFERROR(COUNTIFS(Verificacao!B:B,"NR-12 An. V",Verificacao!G:G,"C")/(COUNTIFS(Verificacao!B:B,"NR-12 An. V",Verificacao!G:G,"C")+COUNTIFS(Verificacao!B:B,"NR-12 An. V",Verificacao!G:G,"NC")),"")</f>
        <v/>
      </c>
    </row>
    <row r="20">
      <c r="A20" t="inlineStr"/>
    </row>
    <row r="21">
      <c r="A21" s="7" t="inlineStr">
        <is>
          <t>EPI</t>
        </is>
      </c>
    </row>
    <row r="22">
      <c r="A22" t="inlineStr">
        <is>
          <t>EPIs não usados no campo (registros "Não")</t>
        </is>
      </c>
      <c r="B22" s="8">
        <f>COUNTIF(EPI!E:E,"Não")</f>
        <v/>
      </c>
    </row>
    <row r="23">
      <c r="A23" t="inlineStr">
        <is>
          <t>EPIs usados parcialmente</t>
        </is>
      </c>
      <c r="B23" s="8">
        <f>COUNTIF(EPI!E:E,"Parcial")</f>
        <v/>
      </c>
    </row>
    <row r="24">
      <c r="A24" t="inlineStr">
        <is>
          <t>EPIs de motosserra em uso (itens fora do PGR marcados "Sim")</t>
        </is>
      </c>
      <c r="B24" s="8">
        <f>COUNTIFS(EPI!B:B,"Não",EPI!E:E,"Sim")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6" customWidth="1" min="1" max="1"/>
    <col width="30" customWidth="1" min="2" max="2"/>
    <col width="30" customWidth="1" min="3" max="3"/>
  </cols>
  <sheetData>
    <row r="1">
      <c r="A1" s="10" t="inlineStr">
        <is>
          <t>Parâmetro</t>
        </is>
      </c>
      <c r="B1" s="10" t="inlineStr">
        <is>
          <t>NHO-01 (canal 1)</t>
        </is>
      </c>
      <c r="C1" s="10" t="inlineStr">
        <is>
          <t>NR-15 Anexo 1 (canal 2)</t>
        </is>
      </c>
    </row>
    <row r="2">
      <c r="A2" s="11" t="inlineStr">
        <is>
          <t>Critério de referência</t>
        </is>
      </c>
      <c r="B2" s="11" t="inlineStr">
        <is>
          <t>85 dB(A) / 8 h</t>
        </is>
      </c>
      <c r="C2" s="11" t="inlineStr">
        <is>
          <t>85 dB(A) / 8 h</t>
        </is>
      </c>
    </row>
    <row r="3">
      <c r="A3" s="11" t="inlineStr">
        <is>
          <t>Incremento de duplicação de dose (q)</t>
        </is>
      </c>
      <c r="B3" s="11" t="inlineStr">
        <is>
          <t>3 dB</t>
        </is>
      </c>
      <c r="C3" s="11" t="inlineStr">
        <is>
          <t>5 dB</t>
        </is>
      </c>
    </row>
    <row r="4">
      <c r="A4" s="11" t="inlineStr">
        <is>
          <t>Nível limiar de integração</t>
        </is>
      </c>
      <c r="B4" s="11" t="inlineStr">
        <is>
          <t>80 dB(A)</t>
        </is>
      </c>
      <c r="C4" s="11" t="inlineStr">
        <is>
          <t>80 dB(A)</t>
        </is>
      </c>
    </row>
    <row r="5">
      <c r="A5" s="11" t="inlineStr">
        <is>
          <t>Ponderação / resposta</t>
        </is>
      </c>
      <c r="B5" s="11" t="inlineStr">
        <is>
          <t>A / lenta</t>
        </is>
      </c>
      <c r="C5" s="11" t="inlineStr">
        <is>
          <t>A / lenta</t>
        </is>
      </c>
    </row>
    <row r="6">
      <c r="A6" s="11" t="inlineStr">
        <is>
          <t>Nível de ação</t>
        </is>
      </c>
      <c r="B6" s="11" t="inlineStr">
        <is>
          <t>NEN 82 dB(A) (dose 50%)</t>
        </is>
      </c>
      <c r="C6" s="11" t="inlineStr">
        <is>
          <t>—</t>
        </is>
      </c>
    </row>
    <row r="7">
      <c r="A7" s="11" t="inlineStr">
        <is>
          <t>Limite</t>
        </is>
      </c>
      <c r="B7" s="11" t="inlineStr">
        <is>
          <t>NEN 85 dB(A) (dose 100%)</t>
        </is>
      </c>
      <c r="C7" s="11" t="inlineStr">
        <is>
          <t>dose 100%</t>
        </is>
      </c>
    </row>
    <row r="8">
      <c r="A8" s="11" t="inlineStr">
        <is>
          <t>Validade da amostra</t>
        </is>
      </c>
      <c r="B8" s="11" t="inlineStr">
        <is>
          <t>calibração antes × depois ≤ ±1 dB</t>
        </is>
      </c>
      <c r="C8" s="12" t="inlineStr"/>
    </row>
    <row r="9">
      <c r="A9" s="12" t="inlineStr"/>
      <c r="B9" s="12" t="inlineStr"/>
      <c r="C9" s="12" t="inlineStr"/>
    </row>
    <row r="10">
      <c r="A10" s="10" t="inlineStr">
        <is>
          <t>NR-10 — raios de delimitação (m)</t>
        </is>
      </c>
      <c r="B10" s="10" t="inlineStr">
        <is>
          <t>Rr (zona de risco)</t>
        </is>
      </c>
      <c r="C10" s="10" t="inlineStr">
        <is>
          <t>Rc (zona controlada)</t>
        </is>
      </c>
    </row>
    <row r="11">
      <c r="A11" s="11" t="inlineStr">
        <is>
          <t>&lt; 1 kV</t>
        </is>
      </c>
      <c r="B11" s="11" t="inlineStr">
        <is>
          <t>0,20</t>
        </is>
      </c>
      <c r="C11" s="11" t="inlineStr">
        <is>
          <t>0,70</t>
        </is>
      </c>
    </row>
    <row r="12">
      <c r="A12" s="11" t="inlineStr">
        <is>
          <t>≥ 10 kV e &lt; 15 kV (ex.: 13,8 kV)</t>
        </is>
      </c>
      <c r="B12" s="11" t="inlineStr">
        <is>
          <t>0,38</t>
        </is>
      </c>
      <c r="C12" s="11" t="inlineStr">
        <is>
          <t>1,38</t>
        </is>
      </c>
    </row>
    <row r="13">
      <c r="A13" s="11" t="inlineStr">
        <is>
          <t>≥ 15 kV e &lt; 20 kV</t>
        </is>
      </c>
      <c r="B13" s="11" t="inlineStr">
        <is>
          <t>0,40</t>
        </is>
      </c>
      <c r="C13" s="11" t="inlineStr">
        <is>
          <t>1,40</t>
        </is>
      </c>
    </row>
    <row r="14">
      <c r="A14" s="11" t="inlineStr">
        <is>
          <t>Conferir a tabela no texto oficial da NR-10 antes da redação.</t>
        </is>
      </c>
      <c r="B14" s="12" t="inlineStr"/>
      <c r="C14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2026-10-27T11:12:36Z</dcterms:created>
  <dcterms:modified xmlns:dcterms="http://purl.org/dc/terms/" xmlns:xsi="http://www.w3.org/2001/XMLSchema-instance" xsi:type="dcterms:W3CDTF">2026-10-27T11:12:36Z</dcterms:modified>
</cp:coreProperties>
</file>